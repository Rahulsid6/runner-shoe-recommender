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e6b31342f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 Intake" sheetId="1" r:id="R1fc7d9a123e947aa"/>
    <x:sheet xmlns:r="http://schemas.openxmlformats.org/officeDocument/2006/relationships" name="Guide &amp; Lists" sheetId="2" r:id="Rbff95772b56c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₹#,##0"/>
    <x:numFmt numFmtId="202" formatCode="0.0"/>
    <x:numFmt numFmtId="203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2372A"/>
      <x:name val="Carlito"/>
    </x:font>
    <x:font>
      <x:b/>
      <x:sz val="11"/>
      <x:color rgb="FF12372A"/>
      <x:name val="Carlito"/>
    </x:font>
    <x:font>
      <x:b/>
      <x:sz val="11"/>
      <x:color rgb="FF1F7A5A"/>
      <x:name val="Carlito"/>
    </x:font>
    <x:font>
      <x:b/>
      <x:sz val="11"/>
      <x:color rgb="FFFFFFFF"/>
      <x:name val="Carlito"/>
    </x:font>
    <x:font>
      <x:sz val="11"/>
      <x:color rgb="FF20332A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E7F4EC"/>
      </x:patternFill>
    </x:fill>
    <x:fill>
      <x:patternFill patternType="solid">
        <x:fgColor rgb="FFF6FAF7"/>
      </x:patternFill>
    </x:fill>
    <x:fill>
      <x:patternFill patternType="solid">
        <x:fgColor rgb="FFFFFFFF"/>
      </x:patternFill>
    </x:fill>
    <x:fill>
      <x:patternFill patternType="solid">
        <x:fgColor rgb="FF1F7A5A"/>
      </x:patternFill>
    </x:fill>
  </x:fills>
  <x:borders count="12">
    <x:border/>
    <x:border>
      <x:left style="thin">
        <x:color rgb="FFB8D7C6"/>
      </x:left>
      <x:top style="thin">
        <x:color rgb="FFB8D7C6"/>
      </x:top>
      <x:bottom style="thin">
        <x:color rgb="FFB8D7C6"/>
      </x:bottom>
    </x:border>
    <x:border>
      <x:top style="thin">
        <x:color rgb="FFB8D7C6"/>
      </x:top>
      <x:bottom style="thin">
        <x:color rgb="FFB8D7C6"/>
      </x:bottom>
    </x:border>
    <x:border>
      <x:right style="thin">
        <x:color rgb="FFB8D7C6"/>
      </x:right>
      <x:top style="thin">
        <x:color rgb="FFB8D7C6"/>
      </x:top>
      <x:bottom style="thin">
        <x:color rgb="FFB8D7C6"/>
      </x:bottom>
    </x:border>
    <x:border>
      <x:left style="thin">
        <x:color rgb="FFB8D7C6"/>
      </x:left>
      <x:right style="thin">
        <x:color rgb="FFB8D7C6"/>
      </x:right>
      <x:top style="thin">
        <x:color rgb="FFB8D7C6"/>
      </x:top>
      <x:bottom style="thin">
        <x:color rgb="FFB8D7C6"/>
      </x:bottom>
    </x:border>
    <x:border>
      <x:left style="thin">
        <x:color rgb="FF176044"/>
      </x:left>
      <x:top style="thin">
        <x:color rgb="FF176044"/>
      </x:top>
      <x:bottom style="thin">
        <x:color rgb="FF176044"/>
      </x:bottom>
    </x:border>
    <x:border>
      <x:top style="thin">
        <x:color rgb="FF176044"/>
      </x:top>
      <x:bottom style="thin">
        <x:color rgb="FF176044"/>
      </x:bottom>
    </x:border>
    <x:border>
      <x:right style="thin">
        <x:color rgb="FF176044"/>
      </x:right>
      <x:top style="thin">
        <x:color rgb="FF176044"/>
      </x:top>
      <x:bottom style="thin">
        <x:color rgb="FF176044"/>
      </x:bottom>
    </x:border>
    <x:border>
      <x:bottom style="thin">
        <x:color rgb="FFD9E7DF"/>
      </x:bottom>
    </x:border>
    <x:border>
      <x:top style="thin">
        <x:color rgb="FFD9E7DF"/>
      </x:top>
      <x:bottom style="thin">
        <x:color rgb="FFD9E7DF"/>
      </x:bottom>
    </x:border>
    <x:border>
      <x:top style="thin">
        <x:color rgb="FFD9E7DF"/>
      </x:top>
    </x:border>
    <x:border>
      <x:left style="thin">
        <x:color rgb="FFD9E7DF"/>
      </x:left>
      <x:right style="thin">
        <x:color rgb="FFD9E7DF"/>
      </x:right>
      <x:top style="thin">
        <x:color rgb="FFD9E7DF"/>
      </x:top>
      <x:bottom style="thin">
        <x:color rgb="FFD9E7DF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5" borderId="2" xfId="0" applyNumberFormat="1" applyFont="1" applyFill="1" applyBorder="1"/>
    <x:xf numFmtId="0" fontId="4" fillId="5" borderId="2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200" fontId="6" fillId="3" borderId="8" xfId="0" applyNumberFormat="1" applyFont="1" applyFill="1" applyBorder="1" applyAlignment="1">
      <x:alignment vertical="top" wrapText="1"/>
    </x:xf>
    <x:xf numFmtId="200" fontId="6" fillId="3" borderId="9" xfId="0" applyNumberFormat="1" applyFont="1" applyFill="1" applyBorder="1" applyAlignment="1">
      <x:alignment vertical="top" wrapText="1"/>
    </x:xf>
    <x:xf numFmtId="200" fontId="0" fillId="3" borderId="9" xfId="0" applyNumberFormat="1" applyFont="1" applyFill="1" applyBorder="1" applyAlignment="1">
      <x:alignment vertical="top" wrapText="1"/>
    </x:xf>
    <x:xf numFmtId="200" fontId="0" fillId="3" borderId="10" xfId="0" applyNumberFormat="1" applyFont="1" applyFill="1" applyBorder="1" applyAlignment="1">
      <x:alignment vertical="top" wrapText="1"/>
    </x:xf>
    <x:xf numFmtId="201" fontId="6" fillId="3" borderId="8" xfId="0" applyNumberFormat="1" applyFont="1" applyFill="1" applyBorder="1" applyAlignment="1">
      <x:alignment vertical="top" wrapText="1"/>
    </x:xf>
    <x:xf numFmtId="201" fontId="6" fillId="3" borderId="9" xfId="0" applyNumberFormat="1" applyFont="1" applyFill="1" applyBorder="1" applyAlignment="1">
      <x:alignment vertical="top" wrapText="1"/>
    </x:xf>
    <x:xf numFmtId="201" fontId="0" fillId="3" borderId="9" xfId="0" applyNumberFormat="1" applyFont="1" applyFill="1" applyBorder="1" applyAlignment="1">
      <x:alignment vertical="top" wrapText="1"/>
    </x:xf>
    <x:xf numFmtId="201" fontId="0" fillId="3" borderId="10" xfId="0" applyNumberFormat="1" applyFont="1" applyFill="1" applyBorder="1" applyAlignment="1">
      <x:alignment vertical="top" wrapText="1"/>
    </x:xf>
    <x:xf numFmtId="202" fontId="6" fillId="5" borderId="8" xfId="0" applyNumberFormat="1" applyFont="1" applyFill="1" applyBorder="1" applyAlignment="1">
      <x:alignment vertical="top" wrapText="1"/>
    </x:xf>
    <x:xf numFmtId="202" fontId="6" fillId="5" borderId="9" xfId="0" applyNumberFormat="1" applyFont="1" applyFill="1" applyBorder="1" applyAlignment="1">
      <x:alignment vertical="top" wrapText="1"/>
    </x:xf>
    <x:xf numFmtId="202" fontId="0" fillId="5" borderId="9" xfId="0" applyNumberFormat="1" applyFont="1" applyFill="1" applyBorder="1" applyAlignment="1">
      <x:alignment vertical="top" wrapText="1"/>
    </x:xf>
    <x:xf numFmtId="202" fontId="0" fillId="5" borderId="10" xfId="0" applyNumberFormat="1" applyFont="1" applyFill="1" applyBorder="1" applyAlignment="1">
      <x:alignment vertical="top" wrapText="1"/>
    </x:xf>
    <x:xf numFmtId="203" fontId="6" fillId="5" borderId="8" xfId="0" applyNumberFormat="1" applyFont="1" applyFill="1" applyBorder="1" applyAlignment="1">
      <x:alignment vertical="top" wrapText="1"/>
    </x:xf>
    <x:xf numFmtId="203" fontId="6" fillId="5" borderId="9" xfId="0" applyNumberFormat="1" applyFont="1" applyFill="1" applyBorder="1" applyAlignment="1">
      <x:alignment vertical="top" wrapText="1"/>
    </x:xf>
    <x:xf numFmtId="203" fontId="0" fillId="5" borderId="9" xfId="0" applyNumberFormat="1" applyFont="1" applyFill="1" applyBorder="1" applyAlignment="1">
      <x:alignment vertical="top" wrapText="1"/>
    </x:xf>
    <x:xf numFmtId="203" fontId="0" fillId="5" borderId="1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/>
    <x:xf numFmtId="0" fontId="0" fillId="0" borderId="11" xfId="0" applyNumberFormat="1" applyFont="1" applyFill="1" applyBorder="1"/>
    <x:xf numFmtId="0" fontId="5" fillId="6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76749"/>
      </x:font>
    </x:dxf>
    <x:dxf>
      <x:font>
        <x:b/>
        <x:color rgb="FF8A5A00"/>
      </x:font>
    </x:dxf>
    <x:dxf>
      <x:font>
        <x:b/>
        <x:color rgb="FF9B2C2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b441c142704b26" /><Relationship Type="http://schemas.openxmlformats.org/officeDocument/2006/relationships/theme" Target="/xl/theme/theme1.xml" Id="R93f109aca7b4428d" /><Relationship Type="http://schemas.openxmlformats.org/officeDocument/2006/relationships/sharedStrings" Target="/xl/sharedStrings.xml" Id="R978705582b9f4ce4" /><Relationship Type="http://schemas.openxmlformats.org/officeDocument/2006/relationships/worksheet" Target="/xl/worksheets/sheet1.xml" Id="R1fc7d9a123e947aa" /><Relationship Type="http://schemas.openxmlformats.org/officeDocument/2006/relationships/worksheet" Target="/xl/worksheets/sheet2.xml" Id="Rbff95772b56c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1" hidden="0" customWidth="1"/>
    <x:col min="5" max="5" width="12" hidden="0" customWidth="1"/>
    <x:col min="6" max="6" width="14" hidden="0" customWidth="1"/>
    <x:col min="7" max="7" width="12" hidden="0" customWidth="1"/>
    <x:col min="8" max="8" width="11" hidden="0" customWidth="1"/>
    <x:col min="9" max="9" width="14" hidden="0" customWidth="1"/>
    <x:col min="10" max="10" width="17" hidden="0" customWidth="1"/>
    <x:col min="11" max="11" width="12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2" hidden="0" customWidth="1"/>
    <x:col min="17" max="17" width="14" hidden="0" customWidth="1"/>
    <x:col min="18" max="18" width="14" hidden="0" customWidth="1"/>
    <x:col min="19" max="19" width="12" hidden="0" customWidth="1"/>
    <x:col min="20" max="20" width="10" hidden="0" customWidth="1"/>
    <x:col min="21" max="21" width="10" hidden="0" customWidth="1"/>
    <x:col min="22" max="22" width="12" hidden="0" customWidth="1"/>
    <x:col min="23" max="23" width="42" hidden="0" customWidth="1"/>
    <x:col min="24" max="24" width="18" hidden="0" customWidth="1"/>
    <x:col min="25" max="25" width="14" hidden="0" customWidth="1"/>
    <x:col min="26" max="26" width="12" hidden="0" customWidth="1"/>
    <x:col min="27" max="27" width="38" hidden="0" customWidth="1"/>
    <x:col min="28" max="28" width="21" hidden="0" customWidth="1"/>
  </x:cols>
  <x:sheetData>
    <x:row r="1" ht="32" customHeight="1">
      <x:c r="A1" s="4" t="str">
        <x:v>RUNWISE · India Shoe Catalog Intake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</x:row>
    <x:row r="2" ht="28" customHeight="1">
      <x:c r="A2" s="7" t="str">
        <x:v>Edit the green columns, retain an official source link, then run: python3 scripts/catalog_quality.py before importing.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</x:row>
    <x:row r="3">
      <x:c r="A3" s="10" t="str">
        <x:v>Variants</x:v>
      </x:c>
      <x:c r="B3" s="16" t="n">
        <x:f>COUNTA(A6:A105)</x:f>
        <x:v>19</x:v>
      </x:c>
      <x:c r="C3" s="11"/>
      <x:c r="D3" s="11" t="str">
        <x:v>Ready for review</x:v>
      </x:c>
      <x:c r="E3" s="11" t="n">
        <x:f>COUNTIF(AB6:AB105,"Ready for review")</x:f>
        <x:v>0</x:v>
      </x:c>
      <x:c r="F3" s="11"/>
      <x:c r="G3" s="11" t="str">
        <x:v>Needs follow-up</x:v>
      </x:c>
      <x:c r="H3" s="12" t="n">
        <x:f>COUNTIF(AB6:AB105,"Needs sources/specs")+COUNTIF(AB6:AB105,"Incomplete")</x:f>
        <x:v>19</x:v>
      </x:c>
    </x:row>
    <x:row r="5" ht="34" customHeight="1">
      <x:c r="A5" s="28" t="str">
        <x:v>id</x:v>
      </x:c>
      <x:c r="B5" s="29" t="str">
        <x:v>brand</x:v>
      </x:c>
      <x:c r="C5" s="29" t="str">
        <x:v>model</x:v>
      </x:c>
      <x:c r="D5" s="29" t="str">
        <x:v>gender</x:v>
      </x:c>
      <x:c r="E5" s="29" t="str">
        <x:v>category</x:v>
      </x:c>
      <x:c r="F5" s="29" t="str">
        <x:v>MSRP (INR)</x:v>
      </x:c>
      <x:c r="G5" s="29" t="str">
        <x:v>weight (g)</x:v>
      </x:c>
      <x:c r="H5" s="29" t="str">
        <x:v>drop (mm)</x:v>
      </x:c>
      <x:c r="I5" s="29" t="str">
        <x:v>stack heel (mm)</x:v>
      </x:c>
      <x:c r="J5" s="29" t="str">
        <x:v>stack forefoot (mm)</x:v>
      </x:c>
      <x:c r="K5" s="29" t="str">
        <x:v>stability</x:v>
      </x:c>
      <x:c r="L5" s="29" t="str">
        <x:v>cushion</x:v>
      </x:c>
      <x:c r="M5" s="29" t="str">
        <x:v>width options</x:v>
      </x:c>
      <x:c r="N5" s="29" t="str">
        <x:v>best use</x:v>
      </x:c>
      <x:c r="O5" s="29" t="str">
        <x:v>distance focus</x:v>
      </x:c>
      <x:c r="P5" s="29" t="str">
        <x:v>cushioning</x:v>
      </x:c>
      <x:c r="Q5" s="29" t="str">
        <x:v>responsiveness</x:v>
      </x:c>
      <x:c r="R5" s="29" t="str">
        <x:v>stability score</x:v>
      </x:c>
      <x:c r="S5" s="29" t="str">
        <x:v>durability</x:v>
      </x:c>
      <x:c r="T5" s="29" t="str">
        <x:v>value</x:v>
      </x:c>
      <x:c r="U5" s="29" t="str">
        <x:v>grip</x:v>
      </x:c>
      <x:c r="V5" s="29" t="str">
        <x:v>protection</x:v>
      </x:c>
      <x:c r="W5" s="29" t="str">
        <x:v>official source URL</x:v>
      </x:c>
      <x:c r="X5" s="29" t="str">
        <x:v>source type</x:v>
      </x:c>
      <x:c r="Y5" s="29" t="str">
        <x:v>last verified</x:v>
      </x:c>
      <x:c r="Z5" s="29" t="str">
        <x:v>available</x:v>
      </x:c>
      <x:c r="AA5" s="29" t="str">
        <x:v>notes</x:v>
      </x:c>
      <x:c r="AB5" s="30" t="str">
        <x:v>review status</x:v>
      </x:c>
    </x:row>
    <x:row r="6">
      <x:c r="A6" s="42" t="str">
        <x:v>asics-gel-nimbus-26-men-road</x:v>
      </x:c>
      <x:c r="B6" s="42" t="str">
        <x:v>ASICS</x:v>
      </x:c>
      <x:c r="C6" s="42" t="str">
        <x:v>Gel-Nimbus 26</x:v>
      </x:c>
      <x:c r="D6" s="42" t="str">
        <x:v>men</x:v>
      </x:c>
      <x:c r="E6" s="42" t="str">
        <x:v>road</x:v>
      </x:c>
      <x:c r="F6" s="53" t="n">
        <x:v>16999</x:v>
      </x:c>
      <x:c r="G6" s="49" t="n">
        <x:v>295</x:v>
      </x:c>
      <x:c r="H6" s="49" t="n">
        <x:v>8</x:v>
      </x:c>
      <x:c r="I6" s="49" t="n">
        <x:v>41</x:v>
      </x:c>
      <x:c r="J6" s="49" t="n">
        <x:v>33</x:v>
      </x:c>
      <x:c r="K6" s="42" t="str">
        <x:v>neutral</x:v>
      </x:c>
      <x:c r="L6" s="42" t="str">
        <x:v>soft</x:v>
      </x:c>
      <x:c r="M6" s="42" t="str">
        <x:v>regular, wide</x:v>
      </x:c>
      <x:c r="N6" s="42" t="str">
        <x:v>easy, daily, long</x:v>
      </x:c>
      <x:c r="O6" s="42" t="str">
        <x:v>10k, hm, fm</x:v>
      </x:c>
      <x:c r="P6" s="57" t="n">
        <x:v>9</x:v>
      </x:c>
      <x:c r="Q6" s="57" t="n">
        <x:v>5.5</x:v>
      </x:c>
      <x:c r="R6" s="57" t="n">
        <x:v>5.5</x:v>
      </x:c>
      <x:c r="S6" s="57" t="n">
        <x:v>8</x:v>
      </x:c>
      <x:c r="T6" s="57" t="n">
        <x:v>7</x:v>
      </x:c>
      <x:c r="U6" s="57" t="n">
        <x:v>6</x:v>
      </x:c>
      <x:c r="V6" s="57" t="n">
        <x:v>6</x:v>
      </x:c>
      <x:c r="W6" s="42" t="str"/>
      <x:c r="X6" s="42" t="str"/>
      <x:c r="Y6" s="61" t="str"/>
      <x:c r="Z6" s="42" t="str">
        <x:v>yes</x:v>
      </x:c>
      <x:c r="AA6" s="42" t="str">
        <x:v>High-stack max cushion cruiser; Comfort-first fit; Not ideal for fast tempo sessions</x:v>
      </x:c>
      <x:c r="AB6" s="37" t="str">
        <x:f>IF(A6="","",IF(AND(B6&lt;&gt;"",C6&lt;&gt;"",D6&lt;&gt;"",E6&lt;&gt;"",F6&gt;0,G6&gt;0,H6&gt;0,M6&lt;&gt;"",N6&lt;&gt;"",O6&lt;&gt;""),IF(AND(W6&lt;&gt;"",Y6&lt;&gt;""),"Ready for review","Needs sources/specs"),"Incomplete"))</x:f>
        <x:v>Needs sources/specs</x:v>
      </x:c>
    </x:row>
    <x:row r="7">
      <x:c r="A7" s="43" t="str">
        <x:v>asics-gel-nimbus-26-women-road</x:v>
      </x:c>
      <x:c r="B7" s="43" t="str">
        <x:v>ASICS</x:v>
      </x:c>
      <x:c r="C7" s="43" t="str">
        <x:v>Gel-Nimbus 26</x:v>
      </x:c>
      <x:c r="D7" s="43" t="str">
        <x:v>women</x:v>
      </x:c>
      <x:c r="E7" s="43" t="str">
        <x:v>road</x:v>
      </x:c>
      <x:c r="F7" s="54" t="n">
        <x:v>16999</x:v>
      </x:c>
      <x:c r="G7" s="50" t="n">
        <x:v>255</x:v>
      </x:c>
      <x:c r="H7" s="50" t="n">
        <x:v>8</x:v>
      </x:c>
      <x:c r="I7" s="50" t="n">
        <x:v>41</x:v>
      </x:c>
      <x:c r="J7" s="50" t="n">
        <x:v>33</x:v>
      </x:c>
      <x:c r="K7" s="43" t="str">
        <x:v>neutral</x:v>
      </x:c>
      <x:c r="L7" s="43" t="str">
        <x:v>soft</x:v>
      </x:c>
      <x:c r="M7" s="43" t="str">
        <x:v>regular, wide</x:v>
      </x:c>
      <x:c r="N7" s="43" t="str">
        <x:v>easy, daily, long</x:v>
      </x:c>
      <x:c r="O7" s="43" t="str">
        <x:v>10k, hm, fm</x:v>
      </x:c>
      <x:c r="P7" s="58" t="n">
        <x:v>9</x:v>
      </x:c>
      <x:c r="Q7" s="58" t="n">
        <x:v>5.5</x:v>
      </x:c>
      <x:c r="R7" s="58" t="n">
        <x:v>5.5</x:v>
      </x:c>
      <x:c r="S7" s="58" t="n">
        <x:v>8</x:v>
      </x:c>
      <x:c r="T7" s="58" t="n">
        <x:v>7</x:v>
      </x:c>
      <x:c r="U7" s="58" t="n">
        <x:v>6</x:v>
      </x:c>
      <x:c r="V7" s="58" t="n">
        <x:v>6</x:v>
      </x:c>
      <x:c r="W7" s="43" t="str"/>
      <x:c r="X7" s="43" t="str"/>
      <x:c r="Y7" s="62" t="str"/>
      <x:c r="Z7" s="43" t="str">
        <x:v>yes</x:v>
      </x:c>
      <x:c r="AA7" s="43" t="str">
        <x:v>High-stack max cushion cruiser; Comfort-first fit</x:v>
      </x:c>
      <x:c r="AB7" s="38" t="str">
        <x:f>IF(A7="","",IF(AND(B7&lt;&gt;"",C7&lt;&gt;"",D7&lt;&gt;"",E7&lt;&gt;"",F7&gt;0,G7&gt;0,H7&gt;0,M7&lt;&gt;"",N7&lt;&gt;"",O7&lt;&gt;""),IF(AND(W7&lt;&gt;"",Y7&lt;&gt;""),"Ready for review","Needs sources/specs"),"Incomplete"))</x:f>
        <x:v>Needs sources/specs</x:v>
      </x:c>
    </x:row>
    <x:row r="8">
      <x:c r="A8" s="43" t="str">
        <x:v>hoka-clifton-9-men-road</x:v>
      </x:c>
      <x:c r="B8" s="43" t="str">
        <x:v>HOKA</x:v>
      </x:c>
      <x:c r="C8" s="43" t="str">
        <x:v>Clifton 9</x:v>
      </x:c>
      <x:c r="D8" s="43" t="str">
        <x:v>men</x:v>
      </x:c>
      <x:c r="E8" s="43" t="str">
        <x:v>road</x:v>
      </x:c>
      <x:c r="F8" s="54" t="n">
        <x:v>14999</x:v>
      </x:c>
      <x:c r="G8" s="50" t="n">
        <x:v>248</x:v>
      </x:c>
      <x:c r="H8" s="50" t="n">
        <x:v>5</x:v>
      </x:c>
      <x:c r="I8" s="50" t="n">
        <x:v>32</x:v>
      </x:c>
      <x:c r="J8" s="50" t="n">
        <x:v>27</x:v>
      </x:c>
      <x:c r="K8" s="43" t="str">
        <x:v>neutral</x:v>
      </x:c>
      <x:c r="L8" s="43" t="str">
        <x:v>soft</x:v>
      </x:c>
      <x:c r="M8" s="43" t="str">
        <x:v>regular, wide</x:v>
      </x:c>
      <x:c r="N8" s="43" t="str">
        <x:v>easy, daily</x:v>
      </x:c>
      <x:c r="O8" s="43" t="str">
        <x:v>5k, 10k, hm, fm</x:v>
      </x:c>
      <x:c r="P8" s="58" t="n">
        <x:v>8.5</x:v>
      </x:c>
      <x:c r="Q8" s="58" t="n">
        <x:v>6</x:v>
      </x:c>
      <x:c r="R8" s="58" t="n">
        <x:v>5.5</x:v>
      </x:c>
      <x:c r="S8" s="58" t="n">
        <x:v>7</x:v>
      </x:c>
      <x:c r="T8" s="58" t="n">
        <x:v>7</x:v>
      </x:c>
      <x:c r="U8" s="58" t="n">
        <x:v>6</x:v>
      </x:c>
      <x:c r="V8" s="58" t="n">
        <x:v>6</x:v>
      </x:c>
      <x:c r="W8" s="43" t="str"/>
      <x:c r="X8" s="43" t="str"/>
      <x:c r="Y8" s="62" t="str"/>
      <x:c r="Z8" s="43" t="str">
        <x:v>yes</x:v>
      </x:c>
      <x:c r="AA8" s="43" t="str">
        <x:v>Light for the cushioning level; Smooth daily trainer</x:v>
      </x:c>
      <x:c r="AB8" s="38" t="str">
        <x:f>IF(A8="","",IF(AND(B8&lt;&gt;"",C8&lt;&gt;"",D8&lt;&gt;"",E8&lt;&gt;"",F8&gt;0,G8&gt;0,H8&gt;0,M8&lt;&gt;"",N8&lt;&gt;"",O8&lt;&gt;""),IF(AND(W8&lt;&gt;"",Y8&lt;&gt;""),"Ready for review","Needs sources/specs"),"Incomplete"))</x:f>
        <x:v>Needs sources/specs</x:v>
      </x:c>
    </x:row>
    <x:row r="9">
      <x:c r="A9" s="43" t="str">
        <x:v>hoka-clifton-9-women-road</x:v>
      </x:c>
      <x:c r="B9" s="43" t="str">
        <x:v>HOKA</x:v>
      </x:c>
      <x:c r="C9" s="43" t="str">
        <x:v>Clifton 9</x:v>
      </x:c>
      <x:c r="D9" s="43" t="str">
        <x:v>women</x:v>
      </x:c>
      <x:c r="E9" s="43" t="str">
        <x:v>road</x:v>
      </x:c>
      <x:c r="F9" s="54" t="n">
        <x:v>14999</x:v>
      </x:c>
      <x:c r="G9" s="50" t="n">
        <x:v>205</x:v>
      </x:c>
      <x:c r="H9" s="50" t="n">
        <x:v>5</x:v>
      </x:c>
      <x:c r="I9" s="50" t="n">
        <x:v>32</x:v>
      </x:c>
      <x:c r="J9" s="50" t="n">
        <x:v>27</x:v>
      </x:c>
      <x:c r="K9" s="43" t="str">
        <x:v>neutral</x:v>
      </x:c>
      <x:c r="L9" s="43" t="str">
        <x:v>soft</x:v>
      </x:c>
      <x:c r="M9" s="43" t="str">
        <x:v>regular, wide</x:v>
      </x:c>
      <x:c r="N9" s="43" t="str">
        <x:v>easy, daily</x:v>
      </x:c>
      <x:c r="O9" s="43" t="str">
        <x:v>5k, 10k, hm, fm</x:v>
      </x:c>
      <x:c r="P9" s="58" t="n">
        <x:v>8.5</x:v>
      </x:c>
      <x:c r="Q9" s="58" t="n">
        <x:v>6</x:v>
      </x:c>
      <x:c r="R9" s="58" t="n">
        <x:v>5.5</x:v>
      </x:c>
      <x:c r="S9" s="58" t="n">
        <x:v>7</x:v>
      </x:c>
      <x:c r="T9" s="58" t="n">
        <x:v>7</x:v>
      </x:c>
      <x:c r="U9" s="58" t="n">
        <x:v>6</x:v>
      </x:c>
      <x:c r="V9" s="58" t="n">
        <x:v>6</x:v>
      </x:c>
      <x:c r="W9" s="43" t="str"/>
      <x:c r="X9" s="43" t="str"/>
      <x:c r="Y9" s="62" t="str"/>
      <x:c r="Z9" s="43" t="str">
        <x:v>yes</x:v>
      </x:c>
      <x:c r="AA9" s="43" t="str">
        <x:v>Light for the cushioning level; Smooth daily trainer</x:v>
      </x:c>
      <x:c r="AB9" s="38" t="str">
        <x:f>IF(A9="","",IF(AND(B9&lt;&gt;"",C9&lt;&gt;"",D9&lt;&gt;"",E9&lt;&gt;"",F9&gt;0,G9&gt;0,H9&gt;0,M9&lt;&gt;"",N9&lt;&gt;"",O9&lt;&gt;""),IF(AND(W9&lt;&gt;"",Y9&lt;&gt;""),"Ready for review","Needs sources/specs"),"Incomplete"))</x:f>
        <x:v>Needs sources/specs</x:v>
      </x:c>
    </x:row>
    <x:row r="10">
      <x:c r="A10" s="43" t="str">
        <x:v>nike-pegasus-41-men-road</x:v>
      </x:c>
      <x:c r="B10" s="43" t="str">
        <x:v>Nike</x:v>
      </x:c>
      <x:c r="C10" s="43" t="str">
        <x:v>Pegasus 41</x:v>
      </x:c>
      <x:c r="D10" s="43" t="str">
        <x:v>men</x:v>
      </x:c>
      <x:c r="E10" s="43" t="str">
        <x:v>road</x:v>
      </x:c>
      <x:c r="F10" s="54" t="n">
        <x:v>12995</x:v>
      </x:c>
      <x:c r="G10" s="50" t="n">
        <x:v>285</x:v>
      </x:c>
      <x:c r="H10" s="50" t="n">
        <x:v>10</x:v>
      </x:c>
      <x:c r="I10" s="50"/>
      <x:c r="J10" s="50"/>
      <x:c r="K10" s="43" t="str">
        <x:v>neutral</x:v>
      </x:c>
      <x:c r="L10" s="43" t="str">
        <x:v>balanced</x:v>
      </x:c>
      <x:c r="M10" s="43" t="str">
        <x:v>regular</x:v>
      </x:c>
      <x:c r="N10" s="43" t="str">
        <x:v>daily, tempo, mixed</x:v>
      </x:c>
      <x:c r="O10" s="43" t="str">
        <x:v>5k, 10k, hm</x:v>
      </x:c>
      <x:c r="P10" s="58" t="n">
        <x:v>7.5</x:v>
      </x:c>
      <x:c r="Q10" s="58" t="n">
        <x:v>7</x:v>
      </x:c>
      <x:c r="R10" s="58" t="n">
        <x:v>5.5</x:v>
      </x:c>
      <x:c r="S10" s="58" t="n">
        <x:v>7.5</x:v>
      </x:c>
      <x:c r="T10" s="58" t="n">
        <x:v>7.5</x:v>
      </x:c>
      <x:c r="U10" s="58" t="n">
        <x:v>6.5</x:v>
      </x:c>
      <x:c r="V10" s="58" t="n">
        <x:v>6</x:v>
      </x:c>
      <x:c r="W10" s="43" t="str"/>
      <x:c r="X10" s="43" t="str"/>
      <x:c r="Y10" s="62" t="str"/>
      <x:c r="Z10" s="43" t="str">
        <x:v>yes</x:v>
      </x:c>
      <x:c r="AA10" s="43" t="str">
        <x:v>Versatile workhorse trainer; Good all-rounder rotation shoe</x:v>
      </x:c>
      <x:c r="AB10" s="38" t="str">
        <x:f>IF(A10="","",IF(AND(B10&lt;&gt;"",C10&lt;&gt;"",D10&lt;&gt;"",E10&lt;&gt;"",F10&gt;0,G10&gt;0,H10&gt;0,M10&lt;&gt;"",N10&lt;&gt;"",O10&lt;&gt;""),IF(AND(W10&lt;&gt;"",Y10&lt;&gt;""),"Ready for review","Needs sources/specs"),"Incomplete"))</x:f>
        <x:v>Needs sources/specs</x:v>
      </x:c>
    </x:row>
    <x:row r="11">
      <x:c r="A11" s="43" t="str">
        <x:v>nike-pegasus-41-women-road</x:v>
      </x:c>
      <x:c r="B11" s="43" t="str">
        <x:v>Nike</x:v>
      </x:c>
      <x:c r="C11" s="43" t="str">
        <x:v>Pegasus 41</x:v>
      </x:c>
      <x:c r="D11" s="43" t="str">
        <x:v>women</x:v>
      </x:c>
      <x:c r="E11" s="43" t="str">
        <x:v>road</x:v>
      </x:c>
      <x:c r="F11" s="54" t="n">
        <x:v>12995</x:v>
      </x:c>
      <x:c r="G11" s="50" t="n">
        <x:v>240</x:v>
      </x:c>
      <x:c r="H11" s="50" t="n">
        <x:v>10</x:v>
      </x:c>
      <x:c r="I11" s="50"/>
      <x:c r="J11" s="50"/>
      <x:c r="K11" s="43" t="str">
        <x:v>neutral</x:v>
      </x:c>
      <x:c r="L11" s="43" t="str">
        <x:v>balanced</x:v>
      </x:c>
      <x:c r="M11" s="43" t="str">
        <x:v>regular</x:v>
      </x:c>
      <x:c r="N11" s="43" t="str">
        <x:v>daily, tempo, mixed</x:v>
      </x:c>
      <x:c r="O11" s="43" t="str">
        <x:v>5k, 10k, hm</x:v>
      </x:c>
      <x:c r="P11" s="58" t="n">
        <x:v>7.5</x:v>
      </x:c>
      <x:c r="Q11" s="58" t="n">
        <x:v>7</x:v>
      </x:c>
      <x:c r="R11" s="58" t="n">
        <x:v>5.5</x:v>
      </x:c>
      <x:c r="S11" s="58" t="n">
        <x:v>7.5</x:v>
      </x:c>
      <x:c r="T11" s="58" t="n">
        <x:v>7.5</x:v>
      </x:c>
      <x:c r="U11" s="58" t="n">
        <x:v>6.5</x:v>
      </x:c>
      <x:c r="V11" s="58" t="n">
        <x:v>6</x:v>
      </x:c>
      <x:c r="W11" s="43" t="str"/>
      <x:c r="X11" s="43" t="str"/>
      <x:c r="Y11" s="62" t="str"/>
      <x:c r="Z11" s="43" t="str">
        <x:v>yes</x:v>
      </x:c>
      <x:c r="AA11" s="43" t="str">
        <x:v>Versatile workhorse trainer; Good all-rounder rotation shoe</x:v>
      </x:c>
      <x:c r="AB11" s="38" t="str">
        <x:f>IF(A11="","",IF(AND(B11&lt;&gt;"",C11&lt;&gt;"",D11&lt;&gt;"",E11&lt;&gt;"",F11&gt;0,G11&gt;0,H11&gt;0,M11&lt;&gt;"",N11&lt;&gt;"",O11&lt;&gt;""),IF(AND(W11&lt;&gt;"",Y11&lt;&gt;""),"Ready for review","Needs sources/specs"),"Incomplete"))</x:f>
        <x:v>Needs sources/specs</x:v>
      </x:c>
    </x:row>
    <x:row r="12">
      <x:c r="A12" s="43" t="str">
        <x:v>adidas-adizero-boston-12-men-road</x:v>
      </x:c>
      <x:c r="B12" s="43" t="str">
        <x:v>adidas</x:v>
      </x:c>
      <x:c r="C12" s="43" t="str">
        <x:v>Adizero Boston 12</x:v>
      </x:c>
      <x:c r="D12" s="43" t="str">
        <x:v>men</x:v>
      </x:c>
      <x:c r="E12" s="43" t="str">
        <x:v>road</x:v>
      </x:c>
      <x:c r="F12" s="54" t="n">
        <x:v>15999</x:v>
      </x:c>
      <x:c r="G12" s="50" t="n">
        <x:v>270</x:v>
      </x:c>
      <x:c r="H12" s="50" t="n">
        <x:v>6</x:v>
      </x:c>
      <x:c r="I12" s="50"/>
      <x:c r="J12" s="50"/>
      <x:c r="K12" s="43" t="str">
        <x:v>neutral</x:v>
      </x:c>
      <x:c r="L12" s="43" t="str">
        <x:v>firm</x:v>
      </x:c>
      <x:c r="M12" s="43" t="str">
        <x:v>regular</x:v>
      </x:c>
      <x:c r="N12" s="43" t="str">
        <x:v>tempo, race, mixed</x:v>
      </x:c>
      <x:c r="O12" s="43" t="str">
        <x:v>10k, hm, fm</x:v>
      </x:c>
      <x:c r="P12" s="58" t="n">
        <x:v>7</x:v>
      </x:c>
      <x:c r="Q12" s="58" t="n">
        <x:v>8</x:v>
      </x:c>
      <x:c r="R12" s="58" t="n">
        <x:v>5.5</x:v>
      </x:c>
      <x:c r="S12" s="58" t="n">
        <x:v>7</x:v>
      </x:c>
      <x:c r="T12" s="58" t="n">
        <x:v>6.5</x:v>
      </x:c>
      <x:c r="U12" s="58" t="n">
        <x:v>7</x:v>
      </x:c>
      <x:c r="V12" s="58" t="n">
        <x:v>6</x:v>
      </x:c>
      <x:c r="W12" s="43" t="str"/>
      <x:c r="X12" s="43" t="str"/>
      <x:c r="Y12" s="62" t="str"/>
      <x:c r="Z12" s="43" t="str">
        <x:v>yes</x:v>
      </x:c>
      <x:c r="AA12" s="43" t="str">
        <x:v>Tempo-focused trainer; Snappy and firmer ride</x:v>
      </x:c>
      <x:c r="AB12" s="38" t="str">
        <x:f>IF(A12="","",IF(AND(B12&lt;&gt;"",C12&lt;&gt;"",D12&lt;&gt;"",E12&lt;&gt;"",F12&gt;0,G12&gt;0,H12&gt;0,M12&lt;&gt;"",N12&lt;&gt;"",O12&lt;&gt;""),IF(AND(W12&lt;&gt;"",Y12&lt;&gt;""),"Ready for review","Needs sources/specs"),"Incomplete"))</x:f>
        <x:v>Needs sources/specs</x:v>
      </x:c>
    </x:row>
    <x:row r="13">
      <x:c r="A13" s="43" t="str">
        <x:v>adidas-adizero-boston-12-women-road</x:v>
      </x:c>
      <x:c r="B13" s="43" t="str">
        <x:v>adidas</x:v>
      </x:c>
      <x:c r="C13" s="43" t="str">
        <x:v>Adizero Boston 12</x:v>
      </x:c>
      <x:c r="D13" s="43" t="str">
        <x:v>women</x:v>
      </x:c>
      <x:c r="E13" s="43" t="str">
        <x:v>road</x:v>
      </x:c>
      <x:c r="F13" s="54" t="n">
        <x:v>15999</x:v>
      </x:c>
      <x:c r="G13" s="50" t="n">
        <x:v>235</x:v>
      </x:c>
      <x:c r="H13" s="50" t="n">
        <x:v>6</x:v>
      </x:c>
      <x:c r="I13" s="50"/>
      <x:c r="J13" s="50"/>
      <x:c r="K13" s="43" t="str">
        <x:v>neutral</x:v>
      </x:c>
      <x:c r="L13" s="43" t="str">
        <x:v>firm</x:v>
      </x:c>
      <x:c r="M13" s="43" t="str">
        <x:v>regular</x:v>
      </x:c>
      <x:c r="N13" s="43" t="str">
        <x:v>tempo, race, mixed</x:v>
      </x:c>
      <x:c r="O13" s="43" t="str">
        <x:v>10k, hm, fm</x:v>
      </x:c>
      <x:c r="P13" s="58" t="n">
        <x:v>7</x:v>
      </x:c>
      <x:c r="Q13" s="58" t="n">
        <x:v>8</x:v>
      </x:c>
      <x:c r="R13" s="58" t="n">
        <x:v>5.5</x:v>
      </x:c>
      <x:c r="S13" s="58" t="n">
        <x:v>7</x:v>
      </x:c>
      <x:c r="T13" s="58" t="n">
        <x:v>6.5</x:v>
      </x:c>
      <x:c r="U13" s="58" t="n">
        <x:v>7</x:v>
      </x:c>
      <x:c r="V13" s="58" t="n">
        <x:v>6</x:v>
      </x:c>
      <x:c r="W13" s="43" t="str"/>
      <x:c r="X13" s="43" t="str"/>
      <x:c r="Y13" s="62" t="str"/>
      <x:c r="Z13" s="43" t="str">
        <x:v>yes</x:v>
      </x:c>
      <x:c r="AA13" s="43" t="str">
        <x:v>Tempo-focused trainer; Snappy and firmer ride</x:v>
      </x:c>
      <x:c r="AB13" s="38" t="str">
        <x:f>IF(A13="","",IF(AND(B13&lt;&gt;"",C13&lt;&gt;"",D13&lt;&gt;"",E13&lt;&gt;"",F13&gt;0,G13&gt;0,H13&gt;0,M13&lt;&gt;"",N13&lt;&gt;"",O13&lt;&gt;""),IF(AND(W13&lt;&gt;"",Y13&lt;&gt;""),"Ready for review","Needs sources/specs"),"Incomplete"))</x:f>
        <x:v>Needs sources/specs</x:v>
      </x:c>
    </x:row>
    <x:row r="14">
      <x:c r="A14" s="43" t="str">
        <x:v>salomon-speedcross-6-men-trail</x:v>
      </x:c>
      <x:c r="B14" s="43" t="str">
        <x:v>Salomon</x:v>
      </x:c>
      <x:c r="C14" s="43" t="str">
        <x:v>Speedcross 6</x:v>
      </x:c>
      <x:c r="D14" s="43" t="str">
        <x:v>men</x:v>
      </x:c>
      <x:c r="E14" s="43" t="str">
        <x:v>trail</x:v>
      </x:c>
      <x:c r="F14" s="54" t="n">
        <x:v>15999</x:v>
      </x:c>
      <x:c r="G14" s="50" t="n">
        <x:v>298</x:v>
      </x:c>
      <x:c r="H14" s="50" t="n">
        <x:v>10</x:v>
      </x:c>
      <x:c r="I14" s="50"/>
      <x:c r="J14" s="50"/>
      <x:c r="K14" s="43" t="str">
        <x:v>neutral</x:v>
      </x:c>
      <x:c r="L14" s="43" t="str">
        <x:v>balanced</x:v>
      </x:c>
      <x:c r="M14" s="43" t="str">
        <x:v>regular</x:v>
      </x:c>
      <x:c r="N14" s="43" t="str">
        <x:v>mixed, easy</x:v>
      </x:c>
      <x:c r="O14" s="43" t="str">
        <x:v>5k, 10k, hm</x:v>
      </x:c>
      <x:c r="P14" s="58" t="n">
        <x:v>6.5</x:v>
      </x:c>
      <x:c r="Q14" s="58" t="n">
        <x:v>6</x:v>
      </x:c>
      <x:c r="R14" s="58" t="n">
        <x:v>6</x:v>
      </x:c>
      <x:c r="S14" s="58" t="n">
        <x:v>7.5</x:v>
      </x:c>
      <x:c r="T14" s="58" t="n">
        <x:v>6.5</x:v>
      </x:c>
      <x:c r="U14" s="58" t="n">
        <x:v>9</x:v>
      </x:c>
      <x:c r="V14" s="58" t="n">
        <x:v>7</x:v>
      </x:c>
      <x:c r="W14" s="43" t="str"/>
      <x:c r="X14" s="43" t="str"/>
      <x:c r="Y14" s="62" t="str"/>
      <x:c r="Z14" s="43" t="str">
        <x:v>yes</x:v>
      </x:c>
      <x:c r="AA14" s="43" t="str">
        <x:v>Aggressive grip for soft/muddy trails; Not the best for road sections</x:v>
      </x:c>
      <x:c r="AB14" s="38" t="str">
        <x:f>IF(A14="","",IF(AND(B14&lt;&gt;"",C14&lt;&gt;"",D14&lt;&gt;"",E14&lt;&gt;"",F14&gt;0,G14&gt;0,H14&gt;0,M14&lt;&gt;"",N14&lt;&gt;"",O14&lt;&gt;""),IF(AND(W14&lt;&gt;"",Y14&lt;&gt;""),"Ready for review","Needs sources/specs"),"Incomplete"))</x:f>
        <x:v>Needs sources/specs</x:v>
      </x:c>
    </x:row>
    <x:row r="15">
      <x:c r="A15" s="43" t="str">
        <x:v>salomon-speedcross-6-women-trail</x:v>
      </x:c>
      <x:c r="B15" s="43" t="str">
        <x:v>Salomon</x:v>
      </x:c>
      <x:c r="C15" s="43" t="str">
        <x:v>Speedcross 6</x:v>
      </x:c>
      <x:c r="D15" s="43" t="str">
        <x:v>women</x:v>
      </x:c>
      <x:c r="E15" s="43" t="str">
        <x:v>trail</x:v>
      </x:c>
      <x:c r="F15" s="54" t="n">
        <x:v>15999</x:v>
      </x:c>
      <x:c r="G15" s="50" t="n">
        <x:v>262</x:v>
      </x:c>
      <x:c r="H15" s="50" t="n">
        <x:v>10</x:v>
      </x:c>
      <x:c r="I15" s="50"/>
      <x:c r="J15" s="50"/>
      <x:c r="K15" s="43" t="str">
        <x:v>neutral</x:v>
      </x:c>
      <x:c r="L15" s="43" t="str">
        <x:v>balanced</x:v>
      </x:c>
      <x:c r="M15" s="43" t="str">
        <x:v>regular</x:v>
      </x:c>
      <x:c r="N15" s="43" t="str">
        <x:v>mixed, easy</x:v>
      </x:c>
      <x:c r="O15" s="43" t="str">
        <x:v>5k, 10k, hm</x:v>
      </x:c>
      <x:c r="P15" s="58" t="n">
        <x:v>6.5</x:v>
      </x:c>
      <x:c r="Q15" s="58" t="n">
        <x:v>6</x:v>
      </x:c>
      <x:c r="R15" s="58" t="n">
        <x:v>6</x:v>
      </x:c>
      <x:c r="S15" s="58" t="n">
        <x:v>7.5</x:v>
      </x:c>
      <x:c r="T15" s="58" t="n">
        <x:v>6.5</x:v>
      </x:c>
      <x:c r="U15" s="58" t="n">
        <x:v>9</x:v>
      </x:c>
      <x:c r="V15" s="58" t="n">
        <x:v>7</x:v>
      </x:c>
      <x:c r="W15" s="43" t="str"/>
      <x:c r="X15" s="43" t="str"/>
      <x:c r="Y15" s="62" t="str"/>
      <x:c r="Z15" s="43" t="str">
        <x:v>yes</x:v>
      </x:c>
      <x:c r="AA15" s="43" t="str">
        <x:v>Aggressive grip for soft/muddy trails</x:v>
      </x:c>
      <x:c r="AB15" s="38" t="str">
        <x:f>IF(A15="","",IF(AND(B15&lt;&gt;"",C15&lt;&gt;"",D15&lt;&gt;"",E15&lt;&gt;"",F15&gt;0,G15&gt;0,H15&gt;0,M15&lt;&gt;"",N15&lt;&gt;"",O15&lt;&gt;""),IF(AND(W15&lt;&gt;"",Y15&lt;&gt;""),"Ready for review","Needs sources/specs"),"Incomplete"))</x:f>
        <x:v>Needs sources/specs</x:v>
      </x:c>
    </x:row>
    <x:row r="16">
      <x:c r="A16" s="43" t="str">
        <x:v>hoka-speedgoat-5-men-trail</x:v>
      </x:c>
      <x:c r="B16" s="43" t="str">
        <x:v>HOKA</x:v>
      </x:c>
      <x:c r="C16" s="43" t="str">
        <x:v>Speedgoat 5</x:v>
      </x:c>
      <x:c r="D16" s="43" t="str">
        <x:v>men</x:v>
      </x:c>
      <x:c r="E16" s="43" t="str">
        <x:v>trail</x:v>
      </x:c>
      <x:c r="F16" s="54" t="n">
        <x:v>15500</x:v>
      </x:c>
      <x:c r="G16" s="50" t="n">
        <x:v>291</x:v>
      </x:c>
      <x:c r="H16" s="50" t="n">
        <x:v>4</x:v>
      </x:c>
      <x:c r="I16" s="50" t="n">
        <x:v>33</x:v>
      </x:c>
      <x:c r="J16" s="50" t="n">
        <x:v>29</x:v>
      </x:c>
      <x:c r="K16" s="43" t="str">
        <x:v>neutral</x:v>
      </x:c>
      <x:c r="L16" s="43" t="str">
        <x:v>soft</x:v>
      </x:c>
      <x:c r="M16" s="43" t="str">
        <x:v>regular, wide</x:v>
      </x:c>
      <x:c r="N16" s="43" t="str">
        <x:v>easy, daily, mixed</x:v>
      </x:c>
      <x:c r="O16" s="43" t="str">
        <x:v>10k, hm, fm, ultra</x:v>
      </x:c>
      <x:c r="P16" s="58" t="n">
        <x:v>8</x:v>
      </x:c>
      <x:c r="Q16" s="58" t="n">
        <x:v>6</x:v>
      </x:c>
      <x:c r="R16" s="58" t="n">
        <x:v>6</x:v>
      </x:c>
      <x:c r="S16" s="58" t="n">
        <x:v>7</x:v>
      </x:c>
      <x:c r="T16" s="58" t="n">
        <x:v>7</x:v>
      </x:c>
      <x:c r="U16" s="58" t="n">
        <x:v>8</x:v>
      </x:c>
      <x:c r="V16" s="58" t="n">
        <x:v>8</x:v>
      </x:c>
      <x:c r="W16" s="43" t="str"/>
      <x:c r="X16" s="43" t="str"/>
      <x:c r="Y16" s="62" t="str"/>
      <x:c r="Z16" s="43" t="str">
        <x:v>yes</x:v>
      </x:c>
      <x:c r="AA16" s="43" t="str">
        <x:v>Protective trail daily/ultra shoe; Strong all-round trail pick</x:v>
      </x:c>
      <x:c r="AB16" s="38" t="str">
        <x:f>IF(A16="","",IF(AND(B16&lt;&gt;"",C16&lt;&gt;"",D16&lt;&gt;"",E16&lt;&gt;"",F16&gt;0,G16&gt;0,H16&gt;0,M16&lt;&gt;"",N16&lt;&gt;"",O16&lt;&gt;""),IF(AND(W16&lt;&gt;"",Y16&lt;&gt;""),"Ready for review","Needs sources/specs"),"Incomplete"))</x:f>
        <x:v>Needs sources/specs</x:v>
      </x:c>
    </x:row>
    <x:row r="17">
      <x:c r="A17" s="43" t="str">
        <x:v>hoka-speedgoat-5-women-trail</x:v>
      </x:c>
      <x:c r="B17" s="43" t="str">
        <x:v>HOKA</x:v>
      </x:c>
      <x:c r="C17" s="43" t="str">
        <x:v>Speedgoat 5</x:v>
      </x:c>
      <x:c r="D17" s="43" t="str">
        <x:v>women</x:v>
      </x:c>
      <x:c r="E17" s="43" t="str">
        <x:v>trail</x:v>
      </x:c>
      <x:c r="F17" s="54" t="n">
        <x:v>15500</x:v>
      </x:c>
      <x:c r="G17" s="50" t="n">
        <x:v>252</x:v>
      </x:c>
      <x:c r="H17" s="50" t="n">
        <x:v>4</x:v>
      </x:c>
      <x:c r="I17" s="50" t="n">
        <x:v>33</x:v>
      </x:c>
      <x:c r="J17" s="50" t="n">
        <x:v>29</x:v>
      </x:c>
      <x:c r="K17" s="43" t="str">
        <x:v>neutral</x:v>
      </x:c>
      <x:c r="L17" s="43" t="str">
        <x:v>soft</x:v>
      </x:c>
      <x:c r="M17" s="43" t="str">
        <x:v>regular, wide</x:v>
      </x:c>
      <x:c r="N17" s="43" t="str">
        <x:v>easy, daily, mixed</x:v>
      </x:c>
      <x:c r="O17" s="43" t="str">
        <x:v>10k, hm, fm, ultra</x:v>
      </x:c>
      <x:c r="P17" s="58" t="n">
        <x:v>8</x:v>
      </x:c>
      <x:c r="Q17" s="58" t="n">
        <x:v>6</x:v>
      </x:c>
      <x:c r="R17" s="58" t="n">
        <x:v>6</x:v>
      </x:c>
      <x:c r="S17" s="58" t="n">
        <x:v>7</x:v>
      </x:c>
      <x:c r="T17" s="58" t="n">
        <x:v>7</x:v>
      </x:c>
      <x:c r="U17" s="58" t="n">
        <x:v>8</x:v>
      </x:c>
      <x:c r="V17" s="58" t="n">
        <x:v>8</x:v>
      </x:c>
      <x:c r="W17" s="43" t="str"/>
      <x:c r="X17" s="43" t="str"/>
      <x:c r="Y17" s="62" t="str"/>
      <x:c r="Z17" s="43" t="str">
        <x:v>yes</x:v>
      </x:c>
      <x:c r="AA17" s="43" t="str">
        <x:v>Protective trail daily/ultra shoe</x:v>
      </x:c>
      <x:c r="AB17" s="38" t="str">
        <x:f>IF(A17="","",IF(AND(B17&lt;&gt;"",C17&lt;&gt;"",D17&lt;&gt;"",E17&lt;&gt;"",F17&gt;0,G17&gt;0,H17&gt;0,M17&lt;&gt;"",N17&lt;&gt;"",O17&lt;&gt;""),IF(AND(W17&lt;&gt;"",Y17&lt;&gt;""),"Ready for review","Needs sources/specs"),"Incomplete"))</x:f>
        <x:v>Needs sources/specs</x:v>
      </x:c>
    </x:row>
    <x:row r="18">
      <x:c r="A18" s="43" t="str">
        <x:v>new-balance-1080v13-men-road</x:v>
      </x:c>
      <x:c r="B18" s="43" t="str">
        <x:v>New Balance</x:v>
      </x:c>
      <x:c r="C18" s="43" t="str">
        <x:v>Fresh Foam X 1080 v13</x:v>
      </x:c>
      <x:c r="D18" s="43" t="str">
        <x:v>men</x:v>
      </x:c>
      <x:c r="E18" s="43" t="str">
        <x:v>road</x:v>
      </x:c>
      <x:c r="F18" s="54" t="n">
        <x:v>16999</x:v>
      </x:c>
      <x:c r="G18" s="50" t="n">
        <x:v>262</x:v>
      </x:c>
      <x:c r="H18" s="50" t="n">
        <x:v>6</x:v>
      </x:c>
      <x:c r="I18" s="50"/>
      <x:c r="J18" s="50"/>
      <x:c r="K18" s="43" t="str">
        <x:v>neutral</x:v>
      </x:c>
      <x:c r="L18" s="43" t="str">
        <x:v>soft</x:v>
      </x:c>
      <x:c r="M18" s="43" t="str">
        <x:v>regular, wide</x:v>
      </x:c>
      <x:c r="N18" s="43" t="str">
        <x:v>easy, daily, long</x:v>
      </x:c>
      <x:c r="O18" s="43" t="str">
        <x:v>10k, hm, fm</x:v>
      </x:c>
      <x:c r="P18" s="58" t="n">
        <x:v>8.5</x:v>
      </x:c>
      <x:c r="Q18" s="58" t="n">
        <x:v>6</x:v>
      </x:c>
      <x:c r="R18" s="58" t="n">
        <x:v>5.5</x:v>
      </x:c>
      <x:c r="S18" s="58" t="n">
        <x:v>7</x:v>
      </x:c>
      <x:c r="T18" s="58" t="n">
        <x:v>6.5</x:v>
      </x:c>
      <x:c r="U18" s="58" t="n">
        <x:v>6.5</x:v>
      </x:c>
      <x:c r="V18" s="58" t="n">
        <x:v>6.5</x:v>
      </x:c>
      <x:c r="W18" s="43" t="str"/>
      <x:c r="X18" s="43" t="str"/>
      <x:c r="Y18" s="62" t="str"/>
      <x:c r="Z18" s="43" t="str">
        <x:v>yes</x:v>
      </x:c>
      <x:c r="AA18" s="43" t="str">
        <x:v>Plush daily/long run shoe; Comfort upper</x:v>
      </x:c>
      <x:c r="AB18" s="38" t="str">
        <x:f>IF(A18="","",IF(AND(B18&lt;&gt;"",C18&lt;&gt;"",D18&lt;&gt;"",E18&lt;&gt;"",F18&gt;0,G18&gt;0,H18&gt;0,M18&lt;&gt;"",N18&lt;&gt;"",O18&lt;&gt;""),IF(AND(W18&lt;&gt;"",Y18&lt;&gt;""),"Ready for review","Needs sources/specs"),"Incomplete"))</x:f>
        <x:v>Needs sources/specs</x:v>
      </x:c>
    </x:row>
    <x:row r="19">
      <x:c r="A19" s="43" t="str">
        <x:v>new-balance-1080v13-women-road</x:v>
      </x:c>
      <x:c r="B19" s="43" t="str">
        <x:v>New Balance</x:v>
      </x:c>
      <x:c r="C19" s="43" t="str">
        <x:v>Fresh Foam X 1080 v13</x:v>
      </x:c>
      <x:c r="D19" s="43" t="str">
        <x:v>women</x:v>
      </x:c>
      <x:c r="E19" s="43" t="str">
        <x:v>road</x:v>
      </x:c>
      <x:c r="F19" s="54" t="n">
        <x:v>16999</x:v>
      </x:c>
      <x:c r="G19" s="50" t="n">
        <x:v>206</x:v>
      </x:c>
      <x:c r="H19" s="50" t="n">
        <x:v>6</x:v>
      </x:c>
      <x:c r="I19" s="50"/>
      <x:c r="J19" s="50"/>
      <x:c r="K19" s="43" t="str">
        <x:v>neutral</x:v>
      </x:c>
      <x:c r="L19" s="43" t="str">
        <x:v>soft</x:v>
      </x:c>
      <x:c r="M19" s="43" t="str">
        <x:v>regular, wide</x:v>
      </x:c>
      <x:c r="N19" s="43" t="str">
        <x:v>easy, daily, long</x:v>
      </x:c>
      <x:c r="O19" s="43" t="str">
        <x:v>10k, hm, fm</x:v>
      </x:c>
      <x:c r="P19" s="58" t="n">
        <x:v>8.5</x:v>
      </x:c>
      <x:c r="Q19" s="58" t="n">
        <x:v>6</x:v>
      </x:c>
      <x:c r="R19" s="58" t="n">
        <x:v>5.5</x:v>
      </x:c>
      <x:c r="S19" s="58" t="n">
        <x:v>7</x:v>
      </x:c>
      <x:c r="T19" s="58" t="n">
        <x:v>6.5</x:v>
      </x:c>
      <x:c r="U19" s="58" t="n">
        <x:v>6.5</x:v>
      </x:c>
      <x:c r="V19" s="58" t="n">
        <x:v>6.5</x:v>
      </x:c>
      <x:c r="W19" s="43" t="str"/>
      <x:c r="X19" s="43" t="str"/>
      <x:c r="Y19" s="62" t="str"/>
      <x:c r="Z19" s="43" t="str">
        <x:v>yes</x:v>
      </x:c>
      <x:c r="AA19" s="43" t="str">
        <x:v>Plush daily/long run shoe; Comfort upper</x:v>
      </x:c>
      <x:c r="AB19" s="38" t="str">
        <x:f>IF(A19="","",IF(AND(B19&lt;&gt;"",C19&lt;&gt;"",D19&lt;&gt;"",E19&lt;&gt;"",F19&gt;0,G19&gt;0,H19&gt;0,M19&lt;&gt;"",N19&lt;&gt;"",O19&lt;&gt;""),IF(AND(W19&lt;&gt;"",Y19&lt;&gt;""),"Ready for review","Needs sources/specs"),"Incomplete"))</x:f>
        <x:v>Needs sources/specs</x:v>
      </x:c>
    </x:row>
    <x:row r="20">
      <x:c r="A20" s="43" t="str">
        <x:v>brooks-ghost-16-men-road</x:v>
      </x:c>
      <x:c r="B20" s="43" t="str">
        <x:v>Brooks</x:v>
      </x:c>
      <x:c r="C20" s="43" t="str">
        <x:v>Ghost 16</x:v>
      </x:c>
      <x:c r="D20" s="43" t="str">
        <x:v>men</x:v>
      </x:c>
      <x:c r="E20" s="43" t="str">
        <x:v>road</x:v>
      </x:c>
      <x:c r="F20" s="54" t="n">
        <x:v>15499</x:v>
      </x:c>
      <x:c r="G20" s="50"/>
      <x:c r="H20" s="50" t="n">
        <x:v>12</x:v>
      </x:c>
      <x:c r="I20" s="50"/>
      <x:c r="J20" s="50"/>
      <x:c r="K20" s="43" t="str">
        <x:v>neutral</x:v>
      </x:c>
      <x:c r="L20" s="43" t="str">
        <x:v>soft</x:v>
      </x:c>
      <x:c r="M20" s="43" t="str">
        <x:v>regular</x:v>
      </x:c>
      <x:c r="N20" s="43" t="str">
        <x:v>easy, daily</x:v>
      </x:c>
      <x:c r="O20" s="43" t="str">
        <x:v>5k, 10k, hm, fm</x:v>
      </x:c>
      <x:c r="P20" s="58" t="n">
        <x:v>8</x:v>
      </x:c>
      <x:c r="Q20" s="58" t="n">
        <x:v>6</x:v>
      </x:c>
      <x:c r="R20" s="58" t="n">
        <x:v>6</x:v>
      </x:c>
      <x:c r="S20" s="58" t="n">
        <x:v>7.5</x:v>
      </x:c>
      <x:c r="T20" s="58" t="n">
        <x:v>7</x:v>
      </x:c>
      <x:c r="U20" s="58" t="n">
        <x:v>6</x:v>
      </x:c>
      <x:c r="V20" s="58" t="n">
        <x:v>6</x:v>
      </x:c>
      <x:c r="W20" s="43" t="str">
        <x:v>https://brooksrunningindia.com/products/ghost-16-mens-road-running-shoes</x:v>
      </x:c>
      <x:c r="X20" s="43" t="str">
        <x:v>official brand</x:v>
      </x:c>
      <x:c r="Y20" s="62" t="str"/>
      <x:c r="Z20" s="43" t="str">
        <x:v>yes</x:v>
      </x:c>
      <x:c r="AA20" s="43" t="str">
        <x:v>Official India MRP: ₹15,499; Soft cushioning and smooth transitions; Official product page lists a 12 mm drop</x:v>
      </x:c>
      <x:c r="AB20" s="38" t="str">
        <x:f>IF(A20="","",IF(AND(B20&lt;&gt;"",C20&lt;&gt;"",D20&lt;&gt;"",E20&lt;&gt;"",F20&gt;0,G20&gt;0,H20&gt;0,M20&lt;&gt;"",N20&lt;&gt;"",O20&lt;&gt;""),IF(AND(W20&lt;&gt;"",Y20&lt;&gt;""),"Ready for review","Needs sources/specs"),"Incomplete"))</x:f>
        <x:v>Incomplete</x:v>
      </x:c>
    </x:row>
    <x:row r="21">
      <x:c r="A21" s="43" t="str">
        <x:v>brooks-ghost-16-women-road</x:v>
      </x:c>
      <x:c r="B21" s="43" t="str">
        <x:v>Brooks</x:v>
      </x:c>
      <x:c r="C21" s="43" t="str">
        <x:v>Ghost 16</x:v>
      </x:c>
      <x:c r="D21" s="43" t="str">
        <x:v>women</x:v>
      </x:c>
      <x:c r="E21" s="43" t="str">
        <x:v>road</x:v>
      </x:c>
      <x:c r="F21" s="54" t="n">
        <x:v>15499</x:v>
      </x:c>
      <x:c r="G21" s="50"/>
      <x:c r="H21" s="50" t="n">
        <x:v>12</x:v>
      </x:c>
      <x:c r="I21" s="50"/>
      <x:c r="J21" s="50"/>
      <x:c r="K21" s="43" t="str">
        <x:v>neutral</x:v>
      </x:c>
      <x:c r="L21" s="43" t="str">
        <x:v>soft</x:v>
      </x:c>
      <x:c r="M21" s="43" t="str">
        <x:v>regular</x:v>
      </x:c>
      <x:c r="N21" s="43" t="str">
        <x:v>easy, daily</x:v>
      </x:c>
      <x:c r="O21" s="43" t="str">
        <x:v>5k, 10k, hm, fm</x:v>
      </x:c>
      <x:c r="P21" s="58" t="n">
        <x:v>8</x:v>
      </x:c>
      <x:c r="Q21" s="58" t="n">
        <x:v>6</x:v>
      </x:c>
      <x:c r="R21" s="58" t="n">
        <x:v>6</x:v>
      </x:c>
      <x:c r="S21" s="58" t="n">
        <x:v>7.5</x:v>
      </x:c>
      <x:c r="T21" s="58" t="n">
        <x:v>7</x:v>
      </x:c>
      <x:c r="U21" s="58" t="n">
        <x:v>6</x:v>
      </x:c>
      <x:c r="V21" s="58" t="n">
        <x:v>6</x:v>
      </x:c>
      <x:c r="W21" s="43" t="str">
        <x:v>https://brooksrunningindia.com/products/ghost-16-womens-road-running-shoes</x:v>
      </x:c>
      <x:c r="X21" s="43" t="str">
        <x:v>official brand</x:v>
      </x:c>
      <x:c r="Y21" s="62" t="str"/>
      <x:c r="Z21" s="43" t="str">
        <x:v>yes</x:v>
      </x:c>
      <x:c r="AA21" s="43" t="str">
        <x:v>Official India MRP: ₹15,499; Soft cushioning and smooth transitions; Official product page lists a 12 mm drop</x:v>
      </x:c>
      <x:c r="AB21" s="38" t="str">
        <x:f>IF(A21="","",IF(AND(B21&lt;&gt;"",C21&lt;&gt;"",D21&lt;&gt;"",E21&lt;&gt;"",F21&gt;0,G21&gt;0,H21&gt;0,M21&lt;&gt;"",N21&lt;&gt;"",O21&lt;&gt;""),IF(AND(W21&lt;&gt;"",Y21&lt;&gt;""),"Ready for review","Needs sources/specs"),"Incomplete"))</x:f>
        <x:v>Incomplete</x:v>
      </x:c>
    </x:row>
    <x:row r="22">
      <x:c r="A22" s="43" t="str">
        <x:v>puma-deviate-nitro-4-men-road</x:v>
      </x:c>
      <x:c r="B22" s="43" t="str">
        <x:v>PUMA</x:v>
      </x:c>
      <x:c r="C22" s="43" t="str">
        <x:v>Deviate NITRO 4</x:v>
      </x:c>
      <x:c r="D22" s="43" t="str">
        <x:v>men</x:v>
      </x:c>
      <x:c r="E22" s="43" t="str">
        <x:v>road</x:v>
      </x:c>
      <x:c r="F22" s="54" t="n">
        <x:v>16999</x:v>
      </x:c>
      <x:c r="G22" s="50"/>
      <x:c r="H22" s="50" t="n">
        <x:v>8</x:v>
      </x:c>
      <x:c r="I22" s="50" t="n">
        <x:v>38</x:v>
      </x:c>
      <x:c r="J22" s="50" t="n">
        <x:v>30</x:v>
      </x:c>
      <x:c r="K22" s="43" t="str">
        <x:v>neutral</x:v>
      </x:c>
      <x:c r="L22" s="43" t="str">
        <x:v>soft</x:v>
      </x:c>
      <x:c r="M22" s="43" t="str">
        <x:v>regular</x:v>
      </x:c>
      <x:c r="N22" s="43" t="str">
        <x:v>tempo, race</x:v>
      </x:c>
      <x:c r="O22" s="43" t="str">
        <x:v>10k, hm, fm</x:v>
      </x:c>
      <x:c r="P22" s="58" t="n">
        <x:v>8.5</x:v>
      </x:c>
      <x:c r="Q22" s="58" t="n">
        <x:v>9</x:v>
      </x:c>
      <x:c r="R22" s="58" t="n">
        <x:v>5.5</x:v>
      </x:c>
      <x:c r="S22" s="58" t="n">
        <x:v>7.5</x:v>
      </x:c>
      <x:c r="T22" s="58" t="n">
        <x:v>6.5</x:v>
      </x:c>
      <x:c r="U22" s="58" t="n">
        <x:v>7</x:v>
      </x:c>
      <x:c r="V22" s="58" t="n">
        <x:v>6</x:v>
      </x:c>
      <x:c r="W22" s="43" t="str">
        <x:v>https://in.puma.com/in/en/pd/deviate-nitro-4-mens-road-running-shoes/312123</x:v>
      </x:c>
      <x:c r="X22" s="43" t="str">
        <x:v>official brand</x:v>
      </x:c>
      <x:c r="Y22" s="62" t="str"/>
      <x:c r="Z22" s="43" t="str">
        <x:v>yes</x:v>
      </x:c>
      <x:c r="AA22" s="43" t="str">
        <x:v>Official India MRP: ₹16,999; NITROFOAM and PWRPLATE for responsive road running; Official page lists 38 mm / 30 mm stack and 8 mm drop</x:v>
      </x:c>
      <x:c r="AB22" s="38" t="str">
        <x:f>IF(A22="","",IF(AND(B22&lt;&gt;"",C22&lt;&gt;"",D22&lt;&gt;"",E22&lt;&gt;"",F22&gt;0,G22&gt;0,H22&gt;0,M22&lt;&gt;"",N22&lt;&gt;"",O22&lt;&gt;""),IF(AND(W22&lt;&gt;"",Y22&lt;&gt;""),"Ready for review","Needs sources/specs"),"Incomplete"))</x:f>
        <x:v>Incomplete</x:v>
      </x:c>
    </x:row>
    <x:row r="23">
      <x:c r="A23" s="43" t="str">
        <x:v>puma-deviate-nitro-elite-4-men-road</x:v>
      </x:c>
      <x:c r="B23" s="43" t="str">
        <x:v>PUMA</x:v>
      </x:c>
      <x:c r="C23" s="43" t="str">
        <x:v>Deviate NITRO Elite 4</x:v>
      </x:c>
      <x:c r="D23" s="43" t="str">
        <x:v>men</x:v>
      </x:c>
      <x:c r="E23" s="43" t="str">
        <x:v>road</x:v>
      </x:c>
      <x:c r="F23" s="54" t="n">
        <x:v>21999</x:v>
      </x:c>
      <x:c r="G23" s="50" t="n">
        <x:v>170</x:v>
      </x:c>
      <x:c r="H23" s="50" t="n">
        <x:v>8</x:v>
      </x:c>
      <x:c r="I23" s="50" t="n">
        <x:v>40</x:v>
      </x:c>
      <x:c r="J23" s="50" t="n">
        <x:v>32</x:v>
      </x:c>
      <x:c r="K23" s="43" t="str">
        <x:v>neutral</x:v>
      </x:c>
      <x:c r="L23" s="43" t="str">
        <x:v>soft</x:v>
      </x:c>
      <x:c r="M23" s="43" t="str">
        <x:v>regular</x:v>
      </x:c>
      <x:c r="N23" s="43" t="str">
        <x:v>race</x:v>
      </x:c>
      <x:c r="O23" s="43" t="str">
        <x:v>10k, hm, fm</x:v>
      </x:c>
      <x:c r="P23" s="58" t="n">
        <x:v>8.5</x:v>
      </x:c>
      <x:c r="Q23" s="58" t="n">
        <x:v>10</x:v>
      </x:c>
      <x:c r="R23" s="58" t="n">
        <x:v>5</x:v>
      </x:c>
      <x:c r="S23" s="58" t="n">
        <x:v>5.5</x:v>
      </x:c>
      <x:c r="T23" s="58" t="n">
        <x:v>5</x:v>
      </x:c>
      <x:c r="U23" s="58" t="n">
        <x:v>7</x:v>
      </x:c>
      <x:c r="V23" s="58" t="n">
        <x:v>5</x:v>
      </x:c>
      <x:c r="W23" s="43" t="str">
        <x:v>https://in.puma.com/in/en/pd/deviate-nitro-elite-4-mens-running-shoes/313298</x:v>
      </x:c>
      <x:c r="X23" s="43" t="str">
        <x:v>official brand</x:v>
      </x:c>
      <x:c r="Y23" s="62" t="str"/>
      <x:c r="Z23" s="43" t="str">
        <x:v>yes</x:v>
      </x:c>
      <x:c r="AA23" s="43" t="str">
        <x:v>Official India MRP: ₹21,999; Race-day model with NITROFOAM Elite and carbon PWRPLATE; Official page lists 170 g (UK 8), 40 mm / 32 mm stack, and 8 mm drop</x:v>
      </x:c>
      <x:c r="AB23" s="38" t="str">
        <x:f>IF(A23="","",IF(AND(B23&lt;&gt;"",C23&lt;&gt;"",D23&lt;&gt;"",E23&lt;&gt;"",F23&gt;0,G23&gt;0,H23&gt;0,M23&lt;&gt;"",N23&lt;&gt;"",O23&lt;&gt;""),IF(AND(W23&lt;&gt;"",Y23&lt;&gt;""),"Ready for review","Needs sources/specs"),"Incomplete"))</x:f>
        <x:v>Needs sources/specs</x:v>
      </x:c>
    </x:row>
    <x:row r="24">
      <x:c r="A24" s="43" t="str">
        <x:v>puma-magnify-nitro-3-men-road</x:v>
      </x:c>
      <x:c r="B24" s="43" t="str">
        <x:v>PUMA</x:v>
      </x:c>
      <x:c r="C24" s="43" t="str">
        <x:v>Magnify NITRO 3</x:v>
      </x:c>
      <x:c r="D24" s="43" t="str">
        <x:v>men</x:v>
      </x:c>
      <x:c r="E24" s="43" t="str">
        <x:v>road</x:v>
      </x:c>
      <x:c r="F24" s="54" t="n">
        <x:v>14999</x:v>
      </x:c>
      <x:c r="G24" s="50"/>
      <x:c r="H24" s="50"/>
      <x:c r="I24" s="50"/>
      <x:c r="J24" s="50"/>
      <x:c r="K24" s="43" t="str">
        <x:v>neutral</x:v>
      </x:c>
      <x:c r="L24" s="43" t="str">
        <x:v>soft</x:v>
      </x:c>
      <x:c r="M24" s="43" t="str">
        <x:v>regular</x:v>
      </x:c>
      <x:c r="N24" s="43" t="str">
        <x:v>easy, daily, long</x:v>
      </x:c>
      <x:c r="O24" s="43" t="str">
        <x:v>10k, hm, fm</x:v>
      </x:c>
      <x:c r="P24" s="58" t="n">
        <x:v>8.5</x:v>
      </x:c>
      <x:c r="Q24" s="58" t="n">
        <x:v>6</x:v>
      </x:c>
      <x:c r="R24" s="58" t="n">
        <x:v>6</x:v>
      </x:c>
      <x:c r="S24" s="58" t="n">
        <x:v>7</x:v>
      </x:c>
      <x:c r="T24" s="58" t="n">
        <x:v>7</x:v>
      </x:c>
      <x:c r="U24" s="58" t="n">
        <x:v>6</x:v>
      </x:c>
      <x:c r="V24" s="58" t="n">
        <x:v>6</x:v>
      </x:c>
      <x:c r="W24" s="43" t="str">
        <x:v>https://in.puma.com/in/en/pd/magnify-nitro-3-mens-road-running-shoes/311046</x:v>
      </x:c>
      <x:c r="X24" s="43" t="str">
        <x:v>official brand</x:v>
      </x:c>
      <x:c r="Y24" s="62" t="str"/>
      <x:c r="Z24" s="43" t="str">
        <x:v>yes</x:v>
      </x:c>
      <x:c r="AA24" s="43" t="str">
        <x:v>Official India MRP: ₹14,999; Current sale price can vary by colourway; Official product page positions it for long runs</x:v>
      </x:c>
      <x:c r="AB24" s="38" t="str">
        <x:f>IF(A24="","",IF(AND(B24&lt;&gt;"",C24&lt;&gt;"",D24&lt;&gt;"",E24&lt;&gt;"",F24&gt;0,G24&gt;0,H24&gt;0,M24&lt;&gt;"",N24&lt;&gt;"",O24&lt;&gt;""),IF(AND(W24&lt;&gt;"",Y24&lt;&gt;""),"Ready for review","Needs sources/specs"),"Incomplete"))</x:f>
        <x:v>Incomplete</x:v>
      </x:c>
    </x:row>
    <x:row r="25">
      <x:c r="A25" s="41"/>
      <x:c r="B25" s="41"/>
      <x:c r="C25" s="41"/>
      <x:c r="D25" s="41"/>
      <x:c r="E25" s="41"/>
      <x:c r="F25" s="55"/>
      <x:c r="G25" s="51"/>
      <x:c r="H25" s="51"/>
      <x:c r="I25" s="51"/>
      <x:c r="J25" s="51"/>
      <x:c r="K25" s="41"/>
      <x:c r="L25" s="41"/>
      <x:c r="M25" s="41"/>
      <x:c r="N25" s="41"/>
      <x:c r="O25" s="41"/>
      <x:c r="P25" s="59"/>
      <x:c r="Q25" s="59"/>
      <x:c r="R25" s="59"/>
      <x:c r="S25" s="59"/>
      <x:c r="T25" s="59"/>
      <x:c r="U25" s="59"/>
      <x:c r="V25" s="59"/>
      <x:c r="W25" s="41"/>
      <x:c r="X25" s="41"/>
      <x:c r="Y25" s="63"/>
      <x:c r="Z25" s="41"/>
      <x:c r="AA25" s="41"/>
      <x:c r="AB25" s="38" t="str">
        <x:f>IF(A25="","",IF(AND(B25&lt;&gt;"",C25&lt;&gt;"",D25&lt;&gt;"",E25&lt;&gt;"",F25&gt;0,G25&gt;0,H25&gt;0,M25&lt;&gt;"",N25&lt;&gt;"",O25&lt;&gt;""),IF(AND(W25&lt;&gt;"",Y25&lt;&gt;""),"Ready for review","Needs sources/specs"),"Incomplete"))</x:f>
      </x:c>
    </x:row>
    <x:row r="26">
      <x:c r="A26" s="41"/>
      <x:c r="B26" s="41"/>
      <x:c r="C26" s="41"/>
      <x:c r="D26" s="41"/>
      <x:c r="E26" s="41"/>
      <x:c r="F26" s="55"/>
      <x:c r="G26" s="51"/>
      <x:c r="H26" s="51"/>
      <x:c r="I26" s="51"/>
      <x:c r="J26" s="51"/>
      <x:c r="K26" s="41"/>
      <x:c r="L26" s="41"/>
      <x:c r="M26" s="41"/>
      <x:c r="N26" s="41"/>
      <x:c r="O26" s="41"/>
      <x:c r="P26" s="59"/>
      <x:c r="Q26" s="59"/>
      <x:c r="R26" s="59"/>
      <x:c r="S26" s="59"/>
      <x:c r="T26" s="59"/>
      <x:c r="U26" s="59"/>
      <x:c r="V26" s="59"/>
      <x:c r="W26" s="41"/>
      <x:c r="X26" s="41"/>
      <x:c r="Y26" s="63"/>
      <x:c r="Z26" s="41"/>
      <x:c r="AA26" s="41"/>
      <x:c r="AB26" s="38" t="str">
        <x:f>IF(A26="","",IF(AND(B26&lt;&gt;"",C26&lt;&gt;"",D26&lt;&gt;"",E26&lt;&gt;"",F26&gt;0,G26&gt;0,H26&gt;0,M26&lt;&gt;"",N26&lt;&gt;"",O26&lt;&gt;""),IF(AND(W26&lt;&gt;"",Y26&lt;&gt;""),"Ready for review","Needs sources/specs"),"Incomplete"))</x:f>
      </x:c>
    </x:row>
    <x:row r="27">
      <x:c r="A27" s="41"/>
      <x:c r="B27" s="41"/>
      <x:c r="C27" s="41"/>
      <x:c r="D27" s="41"/>
      <x:c r="E27" s="41"/>
      <x:c r="F27" s="55"/>
      <x:c r="G27" s="51"/>
      <x:c r="H27" s="51"/>
      <x:c r="I27" s="51"/>
      <x:c r="J27" s="51"/>
      <x:c r="K27" s="41"/>
      <x:c r="L27" s="41"/>
      <x:c r="M27" s="41"/>
      <x:c r="N27" s="41"/>
      <x:c r="O27" s="41"/>
      <x:c r="P27" s="59"/>
      <x:c r="Q27" s="59"/>
      <x:c r="R27" s="59"/>
      <x:c r="S27" s="59"/>
      <x:c r="T27" s="59"/>
      <x:c r="U27" s="59"/>
      <x:c r="V27" s="59"/>
      <x:c r="W27" s="41"/>
      <x:c r="X27" s="41"/>
      <x:c r="Y27" s="63"/>
      <x:c r="Z27" s="41"/>
      <x:c r="AA27" s="41"/>
      <x:c r="AB27" s="38" t="str">
        <x:f>IF(A27="","",IF(AND(B27&lt;&gt;"",C27&lt;&gt;"",D27&lt;&gt;"",E27&lt;&gt;"",F27&gt;0,G27&gt;0,H27&gt;0,M27&lt;&gt;"",N27&lt;&gt;"",O27&lt;&gt;""),IF(AND(W27&lt;&gt;"",Y27&lt;&gt;""),"Ready for review","Needs sources/specs"),"Incomplete"))</x:f>
      </x:c>
    </x:row>
    <x:row r="28">
      <x:c r="A28" s="41"/>
      <x:c r="B28" s="41"/>
      <x:c r="C28" s="41"/>
      <x:c r="D28" s="41"/>
      <x:c r="E28" s="41"/>
      <x:c r="F28" s="55"/>
      <x:c r="G28" s="51"/>
      <x:c r="H28" s="51"/>
      <x:c r="I28" s="51"/>
      <x:c r="J28" s="51"/>
      <x:c r="K28" s="41"/>
      <x:c r="L28" s="41"/>
      <x:c r="M28" s="41"/>
      <x:c r="N28" s="41"/>
      <x:c r="O28" s="41"/>
      <x:c r="P28" s="59"/>
      <x:c r="Q28" s="59"/>
      <x:c r="R28" s="59"/>
      <x:c r="S28" s="59"/>
      <x:c r="T28" s="59"/>
      <x:c r="U28" s="59"/>
      <x:c r="V28" s="59"/>
      <x:c r="W28" s="41"/>
      <x:c r="X28" s="41"/>
      <x:c r="Y28" s="63"/>
      <x:c r="Z28" s="41"/>
      <x:c r="AA28" s="41"/>
      <x:c r="AB28" s="38" t="str">
        <x:f>IF(A28="","",IF(AND(B28&lt;&gt;"",C28&lt;&gt;"",D28&lt;&gt;"",E28&lt;&gt;"",F28&gt;0,G28&gt;0,H28&gt;0,M28&lt;&gt;"",N28&lt;&gt;"",O28&lt;&gt;""),IF(AND(W28&lt;&gt;"",Y28&lt;&gt;""),"Ready for review","Needs sources/specs"),"Incomplete"))</x:f>
      </x:c>
    </x:row>
    <x:row r="29">
      <x:c r="A29" s="41"/>
      <x:c r="B29" s="41"/>
      <x:c r="C29" s="41"/>
      <x:c r="D29" s="41"/>
      <x:c r="E29" s="41"/>
      <x:c r="F29" s="55"/>
      <x:c r="G29" s="51"/>
      <x:c r="H29" s="51"/>
      <x:c r="I29" s="51"/>
      <x:c r="J29" s="51"/>
      <x:c r="K29" s="41"/>
      <x:c r="L29" s="41"/>
      <x:c r="M29" s="41"/>
      <x:c r="N29" s="41"/>
      <x:c r="O29" s="41"/>
      <x:c r="P29" s="59"/>
      <x:c r="Q29" s="59"/>
      <x:c r="R29" s="59"/>
      <x:c r="S29" s="59"/>
      <x:c r="T29" s="59"/>
      <x:c r="U29" s="59"/>
      <x:c r="V29" s="59"/>
      <x:c r="W29" s="41"/>
      <x:c r="X29" s="41"/>
      <x:c r="Y29" s="63"/>
      <x:c r="Z29" s="41"/>
      <x:c r="AA29" s="41"/>
      <x:c r="AB29" s="38" t="str">
        <x:f>IF(A29="","",IF(AND(B29&lt;&gt;"",C29&lt;&gt;"",D29&lt;&gt;"",E29&lt;&gt;"",F29&gt;0,G29&gt;0,H29&gt;0,M29&lt;&gt;"",N29&lt;&gt;"",O29&lt;&gt;""),IF(AND(W29&lt;&gt;"",Y29&lt;&gt;""),"Ready for review","Needs sources/specs"),"Incomplete"))</x:f>
      </x:c>
    </x:row>
    <x:row r="30">
      <x:c r="A30" s="41"/>
      <x:c r="B30" s="41"/>
      <x:c r="C30" s="41"/>
      <x:c r="D30" s="41"/>
      <x:c r="E30" s="41"/>
      <x:c r="F30" s="55"/>
      <x:c r="G30" s="51"/>
      <x:c r="H30" s="51"/>
      <x:c r="I30" s="51"/>
      <x:c r="J30" s="51"/>
      <x:c r="K30" s="41"/>
      <x:c r="L30" s="41"/>
      <x:c r="M30" s="41"/>
      <x:c r="N30" s="41"/>
      <x:c r="O30" s="41"/>
      <x:c r="P30" s="59"/>
      <x:c r="Q30" s="59"/>
      <x:c r="R30" s="59"/>
      <x:c r="S30" s="59"/>
      <x:c r="T30" s="59"/>
      <x:c r="U30" s="59"/>
      <x:c r="V30" s="59"/>
      <x:c r="W30" s="41"/>
      <x:c r="X30" s="41"/>
      <x:c r="Y30" s="63"/>
      <x:c r="Z30" s="41"/>
      <x:c r="AA30" s="41"/>
      <x:c r="AB30" s="38" t="str">
        <x:f>IF(A30="","",IF(AND(B30&lt;&gt;"",C30&lt;&gt;"",D30&lt;&gt;"",E30&lt;&gt;"",F30&gt;0,G30&gt;0,H30&gt;0,M30&lt;&gt;"",N30&lt;&gt;"",O30&lt;&gt;""),IF(AND(W30&lt;&gt;"",Y30&lt;&gt;""),"Ready for review","Needs sources/specs"),"Incomplete"))</x:f>
      </x:c>
    </x:row>
    <x:row r="31">
      <x:c r="A31" s="41"/>
      <x:c r="B31" s="41"/>
      <x:c r="C31" s="41"/>
      <x:c r="D31" s="41"/>
      <x:c r="E31" s="41"/>
      <x:c r="F31" s="55"/>
      <x:c r="G31" s="51"/>
      <x:c r="H31" s="51"/>
      <x:c r="I31" s="51"/>
      <x:c r="J31" s="51"/>
      <x:c r="K31" s="41"/>
      <x:c r="L31" s="41"/>
      <x:c r="M31" s="41"/>
      <x:c r="N31" s="41"/>
      <x:c r="O31" s="41"/>
      <x:c r="P31" s="59"/>
      <x:c r="Q31" s="59"/>
      <x:c r="R31" s="59"/>
      <x:c r="S31" s="59"/>
      <x:c r="T31" s="59"/>
      <x:c r="U31" s="59"/>
      <x:c r="V31" s="59"/>
      <x:c r="W31" s="41"/>
      <x:c r="X31" s="41"/>
      <x:c r="Y31" s="63"/>
      <x:c r="Z31" s="41"/>
      <x:c r="AA31" s="41"/>
      <x:c r="AB31" s="38" t="str">
        <x:f>IF(A31="","",IF(AND(B31&lt;&gt;"",C31&lt;&gt;"",D31&lt;&gt;"",E31&lt;&gt;"",F31&gt;0,G31&gt;0,H31&gt;0,M31&lt;&gt;"",N31&lt;&gt;"",O31&lt;&gt;""),IF(AND(W31&lt;&gt;"",Y31&lt;&gt;""),"Ready for review","Needs sources/specs"),"Incomplete"))</x:f>
      </x:c>
    </x:row>
    <x:row r="32">
      <x:c r="A32" s="41"/>
      <x:c r="B32" s="41"/>
      <x:c r="C32" s="41"/>
      <x:c r="D32" s="41"/>
      <x:c r="E32" s="41"/>
      <x:c r="F32" s="55"/>
      <x:c r="G32" s="51"/>
      <x:c r="H32" s="51"/>
      <x:c r="I32" s="51"/>
      <x:c r="J32" s="51"/>
      <x:c r="K32" s="41"/>
      <x:c r="L32" s="41"/>
      <x:c r="M32" s="41"/>
      <x:c r="N32" s="41"/>
      <x:c r="O32" s="41"/>
      <x:c r="P32" s="59"/>
      <x:c r="Q32" s="59"/>
      <x:c r="R32" s="59"/>
      <x:c r="S32" s="59"/>
      <x:c r="T32" s="59"/>
      <x:c r="U32" s="59"/>
      <x:c r="V32" s="59"/>
      <x:c r="W32" s="41"/>
      <x:c r="X32" s="41"/>
      <x:c r="Y32" s="63"/>
      <x:c r="Z32" s="41"/>
      <x:c r="AA32" s="41"/>
      <x:c r="AB32" s="38" t="str">
        <x:f>IF(A32="","",IF(AND(B32&lt;&gt;"",C32&lt;&gt;"",D32&lt;&gt;"",E32&lt;&gt;"",F32&gt;0,G32&gt;0,H32&gt;0,M32&lt;&gt;"",N32&lt;&gt;"",O32&lt;&gt;""),IF(AND(W32&lt;&gt;"",Y32&lt;&gt;""),"Ready for review","Needs sources/specs"),"Incomplete"))</x:f>
      </x:c>
    </x:row>
    <x:row r="33">
      <x:c r="A33" s="41"/>
      <x:c r="B33" s="41"/>
      <x:c r="C33" s="41"/>
      <x:c r="D33" s="41"/>
      <x:c r="E33" s="41"/>
      <x:c r="F33" s="55"/>
      <x:c r="G33" s="51"/>
      <x:c r="H33" s="51"/>
      <x:c r="I33" s="51"/>
      <x:c r="J33" s="51"/>
      <x:c r="K33" s="41"/>
      <x:c r="L33" s="41"/>
      <x:c r="M33" s="41"/>
      <x:c r="N33" s="41"/>
      <x:c r="O33" s="41"/>
      <x:c r="P33" s="59"/>
      <x:c r="Q33" s="59"/>
      <x:c r="R33" s="59"/>
      <x:c r="S33" s="59"/>
      <x:c r="T33" s="59"/>
      <x:c r="U33" s="59"/>
      <x:c r="V33" s="59"/>
      <x:c r="W33" s="41"/>
      <x:c r="X33" s="41"/>
      <x:c r="Y33" s="63"/>
      <x:c r="Z33" s="41"/>
      <x:c r="AA33" s="41"/>
      <x:c r="AB33" s="38" t="str">
        <x:f>IF(A33="","",IF(AND(B33&lt;&gt;"",C33&lt;&gt;"",D33&lt;&gt;"",E33&lt;&gt;"",F33&gt;0,G33&gt;0,H33&gt;0,M33&lt;&gt;"",N33&lt;&gt;"",O33&lt;&gt;""),IF(AND(W33&lt;&gt;"",Y33&lt;&gt;""),"Ready for review","Needs sources/specs"),"Incomplete"))</x:f>
      </x:c>
    </x:row>
    <x:row r="34">
      <x:c r="A34" s="41"/>
      <x:c r="B34" s="41"/>
      <x:c r="C34" s="41"/>
      <x:c r="D34" s="41"/>
      <x:c r="E34" s="41"/>
      <x:c r="F34" s="55"/>
      <x:c r="G34" s="51"/>
      <x:c r="H34" s="51"/>
      <x:c r="I34" s="51"/>
      <x:c r="J34" s="51"/>
      <x:c r="K34" s="41"/>
      <x:c r="L34" s="41"/>
      <x:c r="M34" s="41"/>
      <x:c r="N34" s="41"/>
      <x:c r="O34" s="41"/>
      <x:c r="P34" s="59"/>
      <x:c r="Q34" s="59"/>
      <x:c r="R34" s="59"/>
      <x:c r="S34" s="59"/>
      <x:c r="T34" s="59"/>
      <x:c r="U34" s="59"/>
      <x:c r="V34" s="59"/>
      <x:c r="W34" s="41"/>
      <x:c r="X34" s="41"/>
      <x:c r="Y34" s="63"/>
      <x:c r="Z34" s="41"/>
      <x:c r="AA34" s="41"/>
      <x:c r="AB34" s="38" t="str">
        <x:f>IF(A34="","",IF(AND(B34&lt;&gt;"",C34&lt;&gt;"",D34&lt;&gt;"",E34&lt;&gt;"",F34&gt;0,G34&gt;0,H34&gt;0,M34&lt;&gt;"",N34&lt;&gt;"",O34&lt;&gt;""),IF(AND(W34&lt;&gt;"",Y34&lt;&gt;""),"Ready for review","Needs sources/specs"),"Incomplete"))</x:f>
      </x:c>
    </x:row>
    <x:row r="35">
      <x:c r="A35" s="41"/>
      <x:c r="B35" s="41"/>
      <x:c r="C35" s="41"/>
      <x:c r="D35" s="41"/>
      <x:c r="E35" s="41"/>
      <x:c r="F35" s="55"/>
      <x:c r="G35" s="51"/>
      <x:c r="H35" s="51"/>
      <x:c r="I35" s="51"/>
      <x:c r="J35" s="51"/>
      <x:c r="K35" s="41"/>
      <x:c r="L35" s="41"/>
      <x:c r="M35" s="41"/>
      <x:c r="N35" s="41"/>
      <x:c r="O35" s="41"/>
      <x:c r="P35" s="59"/>
      <x:c r="Q35" s="59"/>
      <x:c r="R35" s="59"/>
      <x:c r="S35" s="59"/>
      <x:c r="T35" s="59"/>
      <x:c r="U35" s="59"/>
      <x:c r="V35" s="59"/>
      <x:c r="W35" s="41"/>
      <x:c r="X35" s="41"/>
      <x:c r="Y35" s="63"/>
      <x:c r="Z35" s="41"/>
      <x:c r="AA35" s="41"/>
      <x:c r="AB35" s="38" t="str">
        <x:f>IF(A35="","",IF(AND(B35&lt;&gt;"",C35&lt;&gt;"",D35&lt;&gt;"",E35&lt;&gt;"",F35&gt;0,G35&gt;0,H35&gt;0,M35&lt;&gt;"",N35&lt;&gt;"",O35&lt;&gt;""),IF(AND(W35&lt;&gt;"",Y35&lt;&gt;""),"Ready for review","Needs sources/specs"),"Incomplete"))</x:f>
      </x:c>
    </x:row>
    <x:row r="36">
      <x:c r="A36" s="41"/>
      <x:c r="B36" s="41"/>
      <x:c r="C36" s="41"/>
      <x:c r="D36" s="41"/>
      <x:c r="E36" s="41"/>
      <x:c r="F36" s="55"/>
      <x:c r="G36" s="51"/>
      <x:c r="H36" s="51"/>
      <x:c r="I36" s="51"/>
      <x:c r="J36" s="51"/>
      <x:c r="K36" s="41"/>
      <x:c r="L36" s="41"/>
      <x:c r="M36" s="41"/>
      <x:c r="N36" s="41"/>
      <x:c r="O36" s="41"/>
      <x:c r="P36" s="59"/>
      <x:c r="Q36" s="59"/>
      <x:c r="R36" s="59"/>
      <x:c r="S36" s="59"/>
      <x:c r="T36" s="59"/>
      <x:c r="U36" s="59"/>
      <x:c r="V36" s="59"/>
      <x:c r="W36" s="41"/>
      <x:c r="X36" s="41"/>
      <x:c r="Y36" s="63"/>
      <x:c r="Z36" s="41"/>
      <x:c r="AA36" s="41"/>
      <x:c r="AB36" s="38" t="str">
        <x:f>IF(A36="","",IF(AND(B36&lt;&gt;"",C36&lt;&gt;"",D36&lt;&gt;"",E36&lt;&gt;"",F36&gt;0,G36&gt;0,H36&gt;0,M36&lt;&gt;"",N36&lt;&gt;"",O36&lt;&gt;""),IF(AND(W36&lt;&gt;"",Y36&lt;&gt;""),"Ready for review","Needs sources/specs"),"Incomplete"))</x:f>
      </x:c>
    </x:row>
    <x:row r="37">
      <x:c r="A37" s="41"/>
      <x:c r="B37" s="41"/>
      <x:c r="C37" s="41"/>
      <x:c r="D37" s="41"/>
      <x:c r="E37" s="41"/>
      <x:c r="F37" s="55"/>
      <x:c r="G37" s="51"/>
      <x:c r="H37" s="51"/>
      <x:c r="I37" s="51"/>
      <x:c r="J37" s="51"/>
      <x:c r="K37" s="41"/>
      <x:c r="L37" s="41"/>
      <x:c r="M37" s="41"/>
      <x:c r="N37" s="41"/>
      <x:c r="O37" s="41"/>
      <x:c r="P37" s="59"/>
      <x:c r="Q37" s="59"/>
      <x:c r="R37" s="59"/>
      <x:c r="S37" s="59"/>
      <x:c r="T37" s="59"/>
      <x:c r="U37" s="59"/>
      <x:c r="V37" s="59"/>
      <x:c r="W37" s="41"/>
      <x:c r="X37" s="41"/>
      <x:c r="Y37" s="63"/>
      <x:c r="Z37" s="41"/>
      <x:c r="AA37" s="41"/>
      <x:c r="AB37" s="38" t="str">
        <x:f>IF(A37="","",IF(AND(B37&lt;&gt;"",C37&lt;&gt;"",D37&lt;&gt;"",E37&lt;&gt;"",F37&gt;0,G37&gt;0,H37&gt;0,M37&lt;&gt;"",N37&lt;&gt;"",O37&lt;&gt;""),IF(AND(W37&lt;&gt;"",Y37&lt;&gt;""),"Ready for review","Needs sources/specs"),"Incomplete"))</x:f>
      </x:c>
    </x:row>
    <x:row r="38">
      <x:c r="A38" s="41"/>
      <x:c r="B38" s="41"/>
      <x:c r="C38" s="41"/>
      <x:c r="D38" s="41"/>
      <x:c r="E38" s="41"/>
      <x:c r="F38" s="55"/>
      <x:c r="G38" s="51"/>
      <x:c r="H38" s="51"/>
      <x:c r="I38" s="51"/>
      <x:c r="J38" s="51"/>
      <x:c r="K38" s="41"/>
      <x:c r="L38" s="41"/>
      <x:c r="M38" s="41"/>
      <x:c r="N38" s="41"/>
      <x:c r="O38" s="41"/>
      <x:c r="P38" s="59"/>
      <x:c r="Q38" s="59"/>
      <x:c r="R38" s="59"/>
      <x:c r="S38" s="59"/>
      <x:c r="T38" s="59"/>
      <x:c r="U38" s="59"/>
      <x:c r="V38" s="59"/>
      <x:c r="W38" s="41"/>
      <x:c r="X38" s="41"/>
      <x:c r="Y38" s="63"/>
      <x:c r="Z38" s="41"/>
      <x:c r="AA38" s="41"/>
      <x:c r="AB38" s="38" t="str">
        <x:f>IF(A38="","",IF(AND(B38&lt;&gt;"",C38&lt;&gt;"",D38&lt;&gt;"",E38&lt;&gt;"",F38&gt;0,G38&gt;0,H38&gt;0,M38&lt;&gt;"",N38&lt;&gt;"",O38&lt;&gt;""),IF(AND(W38&lt;&gt;"",Y38&lt;&gt;""),"Ready for review","Needs sources/specs"),"Incomplete"))</x:f>
      </x:c>
    </x:row>
    <x:row r="39">
      <x:c r="A39" s="41"/>
      <x:c r="B39" s="41"/>
      <x:c r="C39" s="41"/>
      <x:c r="D39" s="41"/>
      <x:c r="E39" s="41"/>
      <x:c r="F39" s="55"/>
      <x:c r="G39" s="51"/>
      <x:c r="H39" s="51"/>
      <x:c r="I39" s="51"/>
      <x:c r="J39" s="51"/>
      <x:c r="K39" s="41"/>
      <x:c r="L39" s="41"/>
      <x:c r="M39" s="41"/>
      <x:c r="N39" s="41"/>
      <x:c r="O39" s="41"/>
      <x:c r="P39" s="59"/>
      <x:c r="Q39" s="59"/>
      <x:c r="R39" s="59"/>
      <x:c r="S39" s="59"/>
      <x:c r="T39" s="59"/>
      <x:c r="U39" s="59"/>
      <x:c r="V39" s="59"/>
      <x:c r="W39" s="41"/>
      <x:c r="X39" s="41"/>
      <x:c r="Y39" s="63"/>
      <x:c r="Z39" s="41"/>
      <x:c r="AA39" s="41"/>
      <x:c r="AB39" s="38" t="str">
        <x:f>IF(A39="","",IF(AND(B39&lt;&gt;"",C39&lt;&gt;"",D39&lt;&gt;"",E39&lt;&gt;"",F39&gt;0,G39&gt;0,H39&gt;0,M39&lt;&gt;"",N39&lt;&gt;"",O39&lt;&gt;""),IF(AND(W39&lt;&gt;"",Y39&lt;&gt;""),"Ready for review","Needs sources/specs"),"Incomplete"))</x:f>
      </x:c>
    </x:row>
    <x:row r="40">
      <x:c r="A40" s="41"/>
      <x:c r="B40" s="41"/>
      <x:c r="C40" s="41"/>
      <x:c r="D40" s="41"/>
      <x:c r="E40" s="41"/>
      <x:c r="F40" s="55"/>
      <x:c r="G40" s="51"/>
      <x:c r="H40" s="51"/>
      <x:c r="I40" s="51"/>
      <x:c r="J40" s="51"/>
      <x:c r="K40" s="41"/>
      <x:c r="L40" s="41"/>
      <x:c r="M40" s="41"/>
      <x:c r="N40" s="41"/>
      <x:c r="O40" s="41"/>
      <x:c r="P40" s="59"/>
      <x:c r="Q40" s="59"/>
      <x:c r="R40" s="59"/>
      <x:c r="S40" s="59"/>
      <x:c r="T40" s="59"/>
      <x:c r="U40" s="59"/>
      <x:c r="V40" s="59"/>
      <x:c r="W40" s="41"/>
      <x:c r="X40" s="41"/>
      <x:c r="Y40" s="63"/>
      <x:c r="Z40" s="41"/>
      <x:c r="AA40" s="41"/>
      <x:c r="AB40" s="38" t="str">
        <x:f>IF(A40="","",IF(AND(B40&lt;&gt;"",C40&lt;&gt;"",D40&lt;&gt;"",E40&lt;&gt;"",F40&gt;0,G40&gt;0,H40&gt;0,M40&lt;&gt;"",N40&lt;&gt;"",O40&lt;&gt;""),IF(AND(W40&lt;&gt;"",Y40&lt;&gt;""),"Ready for review","Needs sources/specs"),"Incomplete"))</x:f>
      </x:c>
    </x:row>
    <x:row r="41">
      <x:c r="A41" s="41"/>
      <x:c r="B41" s="41"/>
      <x:c r="C41" s="41"/>
      <x:c r="D41" s="41"/>
      <x:c r="E41" s="41"/>
      <x:c r="F41" s="55"/>
      <x:c r="G41" s="51"/>
      <x:c r="H41" s="51"/>
      <x:c r="I41" s="51"/>
      <x:c r="J41" s="51"/>
      <x:c r="K41" s="41"/>
      <x:c r="L41" s="41"/>
      <x:c r="M41" s="41"/>
      <x:c r="N41" s="41"/>
      <x:c r="O41" s="41"/>
      <x:c r="P41" s="59"/>
      <x:c r="Q41" s="59"/>
      <x:c r="R41" s="59"/>
      <x:c r="S41" s="59"/>
      <x:c r="T41" s="59"/>
      <x:c r="U41" s="59"/>
      <x:c r="V41" s="59"/>
      <x:c r="W41" s="41"/>
      <x:c r="X41" s="41"/>
      <x:c r="Y41" s="63"/>
      <x:c r="Z41" s="41"/>
      <x:c r="AA41" s="41"/>
      <x:c r="AB41" s="38" t="str">
        <x:f>IF(A41="","",IF(AND(B41&lt;&gt;"",C41&lt;&gt;"",D41&lt;&gt;"",E41&lt;&gt;"",F41&gt;0,G41&gt;0,H41&gt;0,M41&lt;&gt;"",N41&lt;&gt;"",O41&lt;&gt;""),IF(AND(W41&lt;&gt;"",Y41&lt;&gt;""),"Ready for review","Needs sources/specs"),"Incomplete"))</x:f>
      </x:c>
    </x:row>
    <x:row r="42">
      <x:c r="A42" s="41"/>
      <x:c r="B42" s="41"/>
      <x:c r="C42" s="41"/>
      <x:c r="D42" s="41"/>
      <x:c r="E42" s="41"/>
      <x:c r="F42" s="55"/>
      <x:c r="G42" s="51"/>
      <x:c r="H42" s="51"/>
      <x:c r="I42" s="51"/>
      <x:c r="J42" s="51"/>
      <x:c r="K42" s="41"/>
      <x:c r="L42" s="41"/>
      <x:c r="M42" s="41"/>
      <x:c r="N42" s="41"/>
      <x:c r="O42" s="41"/>
      <x:c r="P42" s="59"/>
      <x:c r="Q42" s="59"/>
      <x:c r="R42" s="59"/>
      <x:c r="S42" s="59"/>
      <x:c r="T42" s="59"/>
      <x:c r="U42" s="59"/>
      <x:c r="V42" s="59"/>
      <x:c r="W42" s="41"/>
      <x:c r="X42" s="41"/>
      <x:c r="Y42" s="63"/>
      <x:c r="Z42" s="41"/>
      <x:c r="AA42" s="41"/>
      <x:c r="AB42" s="38" t="str">
        <x:f>IF(A42="","",IF(AND(B42&lt;&gt;"",C42&lt;&gt;"",D42&lt;&gt;"",E42&lt;&gt;"",F42&gt;0,G42&gt;0,H42&gt;0,M42&lt;&gt;"",N42&lt;&gt;"",O42&lt;&gt;""),IF(AND(W42&lt;&gt;"",Y42&lt;&gt;""),"Ready for review","Needs sources/specs"),"Incomplete"))</x:f>
      </x:c>
    </x:row>
    <x:row r="43">
      <x:c r="A43" s="41"/>
      <x:c r="B43" s="41"/>
      <x:c r="C43" s="41"/>
      <x:c r="D43" s="41"/>
      <x:c r="E43" s="41"/>
      <x:c r="F43" s="55"/>
      <x:c r="G43" s="51"/>
      <x:c r="H43" s="51"/>
      <x:c r="I43" s="51"/>
      <x:c r="J43" s="51"/>
      <x:c r="K43" s="41"/>
      <x:c r="L43" s="41"/>
      <x:c r="M43" s="41"/>
      <x:c r="N43" s="41"/>
      <x:c r="O43" s="41"/>
      <x:c r="P43" s="59"/>
      <x:c r="Q43" s="59"/>
      <x:c r="R43" s="59"/>
      <x:c r="S43" s="59"/>
      <x:c r="T43" s="59"/>
      <x:c r="U43" s="59"/>
      <x:c r="V43" s="59"/>
      <x:c r="W43" s="41"/>
      <x:c r="X43" s="41"/>
      <x:c r="Y43" s="63"/>
      <x:c r="Z43" s="41"/>
      <x:c r="AA43" s="41"/>
      <x:c r="AB43" s="38" t="str">
        <x:f>IF(A43="","",IF(AND(B43&lt;&gt;"",C43&lt;&gt;"",D43&lt;&gt;"",E43&lt;&gt;"",F43&gt;0,G43&gt;0,H43&gt;0,M43&lt;&gt;"",N43&lt;&gt;"",O43&lt;&gt;""),IF(AND(W43&lt;&gt;"",Y43&lt;&gt;""),"Ready for review","Needs sources/specs"),"Incomplete"))</x:f>
      </x:c>
    </x:row>
    <x:row r="44">
      <x:c r="A44" s="41"/>
      <x:c r="B44" s="41"/>
      <x:c r="C44" s="41"/>
      <x:c r="D44" s="41"/>
      <x:c r="E44" s="41"/>
      <x:c r="F44" s="55"/>
      <x:c r="G44" s="51"/>
      <x:c r="H44" s="51"/>
      <x:c r="I44" s="51"/>
      <x:c r="J44" s="51"/>
      <x:c r="K44" s="41"/>
      <x:c r="L44" s="41"/>
      <x:c r="M44" s="41"/>
      <x:c r="N44" s="41"/>
      <x:c r="O44" s="41"/>
      <x:c r="P44" s="59"/>
      <x:c r="Q44" s="59"/>
      <x:c r="R44" s="59"/>
      <x:c r="S44" s="59"/>
      <x:c r="T44" s="59"/>
      <x:c r="U44" s="59"/>
      <x:c r="V44" s="59"/>
      <x:c r="W44" s="41"/>
      <x:c r="X44" s="41"/>
      <x:c r="Y44" s="63"/>
      <x:c r="Z44" s="41"/>
      <x:c r="AA44" s="41"/>
      <x:c r="AB44" s="38" t="str">
        <x:f>IF(A44="","",IF(AND(B44&lt;&gt;"",C44&lt;&gt;"",D44&lt;&gt;"",E44&lt;&gt;"",F44&gt;0,G44&gt;0,H44&gt;0,M44&lt;&gt;"",N44&lt;&gt;"",O44&lt;&gt;""),IF(AND(W44&lt;&gt;"",Y44&lt;&gt;""),"Ready for review","Needs sources/specs"),"Incomplete"))</x:f>
      </x:c>
    </x:row>
    <x:row r="45">
      <x:c r="A45" s="41"/>
      <x:c r="B45" s="41"/>
      <x:c r="C45" s="41"/>
      <x:c r="D45" s="41"/>
      <x:c r="E45" s="41"/>
      <x:c r="F45" s="55"/>
      <x:c r="G45" s="51"/>
      <x:c r="H45" s="51"/>
      <x:c r="I45" s="51"/>
      <x:c r="J45" s="51"/>
      <x:c r="K45" s="41"/>
      <x:c r="L45" s="41"/>
      <x:c r="M45" s="41"/>
      <x:c r="N45" s="41"/>
      <x:c r="O45" s="41"/>
      <x:c r="P45" s="59"/>
      <x:c r="Q45" s="59"/>
      <x:c r="R45" s="59"/>
      <x:c r="S45" s="59"/>
      <x:c r="T45" s="59"/>
      <x:c r="U45" s="59"/>
      <x:c r="V45" s="59"/>
      <x:c r="W45" s="41"/>
      <x:c r="X45" s="41"/>
      <x:c r="Y45" s="63"/>
      <x:c r="Z45" s="41"/>
      <x:c r="AA45" s="41"/>
      <x:c r="AB45" s="38" t="str">
        <x:f>IF(A45="","",IF(AND(B45&lt;&gt;"",C45&lt;&gt;"",D45&lt;&gt;"",E45&lt;&gt;"",F45&gt;0,G45&gt;0,H45&gt;0,M45&lt;&gt;"",N45&lt;&gt;"",O45&lt;&gt;""),IF(AND(W45&lt;&gt;"",Y45&lt;&gt;""),"Ready for review","Needs sources/specs"),"Incomplete"))</x:f>
      </x:c>
    </x:row>
    <x:row r="46">
      <x:c r="A46" s="41"/>
      <x:c r="B46" s="41"/>
      <x:c r="C46" s="41"/>
      <x:c r="D46" s="41"/>
      <x:c r="E46" s="41"/>
      <x:c r="F46" s="55"/>
      <x:c r="G46" s="51"/>
      <x:c r="H46" s="51"/>
      <x:c r="I46" s="51"/>
      <x:c r="J46" s="51"/>
      <x:c r="K46" s="41"/>
      <x:c r="L46" s="41"/>
      <x:c r="M46" s="41"/>
      <x:c r="N46" s="41"/>
      <x:c r="O46" s="41"/>
      <x:c r="P46" s="59"/>
      <x:c r="Q46" s="59"/>
      <x:c r="R46" s="59"/>
      <x:c r="S46" s="59"/>
      <x:c r="T46" s="59"/>
      <x:c r="U46" s="59"/>
      <x:c r="V46" s="59"/>
      <x:c r="W46" s="41"/>
      <x:c r="X46" s="41"/>
      <x:c r="Y46" s="63"/>
      <x:c r="Z46" s="41"/>
      <x:c r="AA46" s="41"/>
      <x:c r="AB46" s="38" t="str">
        <x:f>IF(A46="","",IF(AND(B46&lt;&gt;"",C46&lt;&gt;"",D46&lt;&gt;"",E46&lt;&gt;"",F46&gt;0,G46&gt;0,H46&gt;0,M46&lt;&gt;"",N46&lt;&gt;"",O46&lt;&gt;""),IF(AND(W46&lt;&gt;"",Y46&lt;&gt;""),"Ready for review","Needs sources/specs"),"Incomplete"))</x:f>
      </x:c>
    </x:row>
    <x:row r="47">
      <x:c r="A47" s="41"/>
      <x:c r="B47" s="41"/>
      <x:c r="C47" s="41"/>
      <x:c r="D47" s="41"/>
      <x:c r="E47" s="41"/>
      <x:c r="F47" s="55"/>
      <x:c r="G47" s="51"/>
      <x:c r="H47" s="51"/>
      <x:c r="I47" s="51"/>
      <x:c r="J47" s="51"/>
      <x:c r="K47" s="41"/>
      <x:c r="L47" s="41"/>
      <x:c r="M47" s="41"/>
      <x:c r="N47" s="41"/>
      <x:c r="O47" s="41"/>
      <x:c r="P47" s="59"/>
      <x:c r="Q47" s="59"/>
      <x:c r="R47" s="59"/>
      <x:c r="S47" s="59"/>
      <x:c r="T47" s="59"/>
      <x:c r="U47" s="59"/>
      <x:c r="V47" s="59"/>
      <x:c r="W47" s="41"/>
      <x:c r="X47" s="41"/>
      <x:c r="Y47" s="63"/>
      <x:c r="Z47" s="41"/>
      <x:c r="AA47" s="41"/>
      <x:c r="AB47" s="38" t="str">
        <x:f>IF(A47="","",IF(AND(B47&lt;&gt;"",C47&lt;&gt;"",D47&lt;&gt;"",E47&lt;&gt;"",F47&gt;0,G47&gt;0,H47&gt;0,M47&lt;&gt;"",N47&lt;&gt;"",O47&lt;&gt;""),IF(AND(W47&lt;&gt;"",Y47&lt;&gt;""),"Ready for review","Needs sources/specs"),"Incomplete"))</x:f>
      </x:c>
    </x:row>
    <x:row r="48">
      <x:c r="A48" s="41"/>
      <x:c r="B48" s="41"/>
      <x:c r="C48" s="41"/>
      <x:c r="D48" s="41"/>
      <x:c r="E48" s="41"/>
      <x:c r="F48" s="55"/>
      <x:c r="G48" s="51"/>
      <x:c r="H48" s="51"/>
      <x:c r="I48" s="51"/>
      <x:c r="J48" s="51"/>
      <x:c r="K48" s="41"/>
      <x:c r="L48" s="41"/>
      <x:c r="M48" s="41"/>
      <x:c r="N48" s="41"/>
      <x:c r="O48" s="41"/>
      <x:c r="P48" s="59"/>
      <x:c r="Q48" s="59"/>
      <x:c r="R48" s="59"/>
      <x:c r="S48" s="59"/>
      <x:c r="T48" s="59"/>
      <x:c r="U48" s="59"/>
      <x:c r="V48" s="59"/>
      <x:c r="W48" s="41"/>
      <x:c r="X48" s="41"/>
      <x:c r="Y48" s="63"/>
      <x:c r="Z48" s="41"/>
      <x:c r="AA48" s="41"/>
      <x:c r="AB48" s="38" t="str">
        <x:f>IF(A48="","",IF(AND(B48&lt;&gt;"",C48&lt;&gt;"",D48&lt;&gt;"",E48&lt;&gt;"",F48&gt;0,G48&gt;0,H48&gt;0,M48&lt;&gt;"",N48&lt;&gt;"",O48&lt;&gt;""),IF(AND(W48&lt;&gt;"",Y48&lt;&gt;""),"Ready for review","Needs sources/specs"),"Incomplete"))</x:f>
      </x:c>
    </x:row>
    <x:row r="49">
      <x:c r="A49" s="41"/>
      <x:c r="B49" s="41"/>
      <x:c r="C49" s="41"/>
      <x:c r="D49" s="41"/>
      <x:c r="E49" s="41"/>
      <x:c r="F49" s="55"/>
      <x:c r="G49" s="51"/>
      <x:c r="H49" s="51"/>
      <x:c r="I49" s="51"/>
      <x:c r="J49" s="51"/>
      <x:c r="K49" s="41"/>
      <x:c r="L49" s="41"/>
      <x:c r="M49" s="41"/>
      <x:c r="N49" s="41"/>
      <x:c r="O49" s="41"/>
      <x:c r="P49" s="59"/>
      <x:c r="Q49" s="59"/>
      <x:c r="R49" s="59"/>
      <x:c r="S49" s="59"/>
      <x:c r="T49" s="59"/>
      <x:c r="U49" s="59"/>
      <x:c r="V49" s="59"/>
      <x:c r="W49" s="41"/>
      <x:c r="X49" s="41"/>
      <x:c r="Y49" s="63"/>
      <x:c r="Z49" s="41"/>
      <x:c r="AA49" s="41"/>
      <x:c r="AB49" s="38" t="str">
        <x:f>IF(A49="","",IF(AND(B49&lt;&gt;"",C49&lt;&gt;"",D49&lt;&gt;"",E49&lt;&gt;"",F49&gt;0,G49&gt;0,H49&gt;0,M49&lt;&gt;"",N49&lt;&gt;"",O49&lt;&gt;""),IF(AND(W49&lt;&gt;"",Y49&lt;&gt;""),"Ready for review","Needs sources/specs"),"Incomplete"))</x:f>
      </x:c>
    </x:row>
    <x:row r="50">
      <x:c r="A50" s="41"/>
      <x:c r="B50" s="41"/>
      <x:c r="C50" s="41"/>
      <x:c r="D50" s="41"/>
      <x:c r="E50" s="41"/>
      <x:c r="F50" s="55"/>
      <x:c r="G50" s="51"/>
      <x:c r="H50" s="51"/>
      <x:c r="I50" s="51"/>
      <x:c r="J50" s="51"/>
      <x:c r="K50" s="41"/>
      <x:c r="L50" s="41"/>
      <x:c r="M50" s="41"/>
      <x:c r="N50" s="41"/>
      <x:c r="O50" s="41"/>
      <x:c r="P50" s="59"/>
      <x:c r="Q50" s="59"/>
      <x:c r="R50" s="59"/>
      <x:c r="S50" s="59"/>
      <x:c r="T50" s="59"/>
      <x:c r="U50" s="59"/>
      <x:c r="V50" s="59"/>
      <x:c r="W50" s="41"/>
      <x:c r="X50" s="41"/>
      <x:c r="Y50" s="63"/>
      <x:c r="Z50" s="41"/>
      <x:c r="AA50" s="41"/>
      <x:c r="AB50" s="38" t="str">
        <x:f>IF(A50="","",IF(AND(B50&lt;&gt;"",C50&lt;&gt;"",D50&lt;&gt;"",E50&lt;&gt;"",F50&gt;0,G50&gt;0,H50&gt;0,M50&lt;&gt;"",N50&lt;&gt;"",O50&lt;&gt;""),IF(AND(W50&lt;&gt;"",Y50&lt;&gt;""),"Ready for review","Needs sources/specs"),"Incomplete"))</x:f>
      </x:c>
    </x:row>
    <x:row r="51">
      <x:c r="A51" s="41"/>
      <x:c r="B51" s="41"/>
      <x:c r="C51" s="41"/>
      <x:c r="D51" s="41"/>
      <x:c r="E51" s="41"/>
      <x:c r="F51" s="55"/>
      <x:c r="G51" s="51"/>
      <x:c r="H51" s="51"/>
      <x:c r="I51" s="51"/>
      <x:c r="J51" s="51"/>
      <x:c r="K51" s="41"/>
      <x:c r="L51" s="41"/>
      <x:c r="M51" s="41"/>
      <x:c r="N51" s="41"/>
      <x:c r="O51" s="41"/>
      <x:c r="P51" s="59"/>
      <x:c r="Q51" s="59"/>
      <x:c r="R51" s="59"/>
      <x:c r="S51" s="59"/>
      <x:c r="T51" s="59"/>
      <x:c r="U51" s="59"/>
      <x:c r="V51" s="59"/>
      <x:c r="W51" s="41"/>
      <x:c r="X51" s="41"/>
      <x:c r="Y51" s="63"/>
      <x:c r="Z51" s="41"/>
      <x:c r="AA51" s="41"/>
      <x:c r="AB51" s="38" t="str">
        <x:f>IF(A51="","",IF(AND(B51&lt;&gt;"",C51&lt;&gt;"",D51&lt;&gt;"",E51&lt;&gt;"",F51&gt;0,G51&gt;0,H51&gt;0,M51&lt;&gt;"",N51&lt;&gt;"",O51&lt;&gt;""),IF(AND(W51&lt;&gt;"",Y51&lt;&gt;""),"Ready for review","Needs sources/specs"),"Incomplete"))</x:f>
      </x:c>
    </x:row>
    <x:row r="52">
      <x:c r="A52" s="41"/>
      <x:c r="B52" s="41"/>
      <x:c r="C52" s="41"/>
      <x:c r="D52" s="41"/>
      <x:c r="E52" s="41"/>
      <x:c r="F52" s="55"/>
      <x:c r="G52" s="51"/>
      <x:c r="H52" s="51"/>
      <x:c r="I52" s="51"/>
      <x:c r="J52" s="51"/>
      <x:c r="K52" s="41"/>
      <x:c r="L52" s="41"/>
      <x:c r="M52" s="41"/>
      <x:c r="N52" s="41"/>
      <x:c r="O52" s="41"/>
      <x:c r="P52" s="59"/>
      <x:c r="Q52" s="59"/>
      <x:c r="R52" s="59"/>
      <x:c r="S52" s="59"/>
      <x:c r="T52" s="59"/>
      <x:c r="U52" s="59"/>
      <x:c r="V52" s="59"/>
      <x:c r="W52" s="41"/>
      <x:c r="X52" s="41"/>
      <x:c r="Y52" s="63"/>
      <x:c r="Z52" s="41"/>
      <x:c r="AA52" s="41"/>
      <x:c r="AB52" s="38" t="str">
        <x:f>IF(A52="","",IF(AND(B52&lt;&gt;"",C52&lt;&gt;"",D52&lt;&gt;"",E52&lt;&gt;"",F52&gt;0,G52&gt;0,H52&gt;0,M52&lt;&gt;"",N52&lt;&gt;"",O52&lt;&gt;""),IF(AND(W52&lt;&gt;"",Y52&lt;&gt;""),"Ready for review","Needs sources/specs"),"Incomplete"))</x:f>
      </x:c>
    </x:row>
    <x:row r="53">
      <x:c r="A53" s="41"/>
      <x:c r="B53" s="41"/>
      <x:c r="C53" s="41"/>
      <x:c r="D53" s="41"/>
      <x:c r="E53" s="41"/>
      <x:c r="F53" s="55"/>
      <x:c r="G53" s="51"/>
      <x:c r="H53" s="51"/>
      <x:c r="I53" s="51"/>
      <x:c r="J53" s="51"/>
      <x:c r="K53" s="41"/>
      <x:c r="L53" s="41"/>
      <x:c r="M53" s="41"/>
      <x:c r="N53" s="41"/>
      <x:c r="O53" s="41"/>
      <x:c r="P53" s="59"/>
      <x:c r="Q53" s="59"/>
      <x:c r="R53" s="59"/>
      <x:c r="S53" s="59"/>
      <x:c r="T53" s="59"/>
      <x:c r="U53" s="59"/>
      <x:c r="V53" s="59"/>
      <x:c r="W53" s="41"/>
      <x:c r="X53" s="41"/>
      <x:c r="Y53" s="63"/>
      <x:c r="Z53" s="41"/>
      <x:c r="AA53" s="41"/>
      <x:c r="AB53" s="38" t="str">
        <x:f>IF(A53="","",IF(AND(B53&lt;&gt;"",C53&lt;&gt;"",D53&lt;&gt;"",E53&lt;&gt;"",F53&gt;0,G53&gt;0,H53&gt;0,M53&lt;&gt;"",N53&lt;&gt;"",O53&lt;&gt;""),IF(AND(W53&lt;&gt;"",Y53&lt;&gt;""),"Ready for review","Needs sources/specs"),"Incomplete"))</x:f>
      </x:c>
    </x:row>
    <x:row r="54">
      <x:c r="A54" s="41"/>
      <x:c r="B54" s="41"/>
      <x:c r="C54" s="41"/>
      <x:c r="D54" s="41"/>
      <x:c r="E54" s="41"/>
      <x:c r="F54" s="55"/>
      <x:c r="G54" s="51"/>
      <x:c r="H54" s="51"/>
      <x:c r="I54" s="51"/>
      <x:c r="J54" s="51"/>
      <x:c r="K54" s="41"/>
      <x:c r="L54" s="41"/>
      <x:c r="M54" s="41"/>
      <x:c r="N54" s="41"/>
      <x:c r="O54" s="41"/>
      <x:c r="P54" s="59"/>
      <x:c r="Q54" s="59"/>
      <x:c r="R54" s="59"/>
      <x:c r="S54" s="59"/>
      <x:c r="T54" s="59"/>
      <x:c r="U54" s="59"/>
      <x:c r="V54" s="59"/>
      <x:c r="W54" s="41"/>
      <x:c r="X54" s="41"/>
      <x:c r="Y54" s="63"/>
      <x:c r="Z54" s="41"/>
      <x:c r="AA54" s="41"/>
      <x:c r="AB54" s="38" t="str">
        <x:f>IF(A54="","",IF(AND(B54&lt;&gt;"",C54&lt;&gt;"",D54&lt;&gt;"",E54&lt;&gt;"",F54&gt;0,G54&gt;0,H54&gt;0,M54&lt;&gt;"",N54&lt;&gt;"",O54&lt;&gt;""),IF(AND(W54&lt;&gt;"",Y54&lt;&gt;""),"Ready for review","Needs sources/specs"),"Incomplete"))</x:f>
      </x:c>
    </x:row>
    <x:row r="55">
      <x:c r="A55" s="41"/>
      <x:c r="B55" s="41"/>
      <x:c r="C55" s="41"/>
      <x:c r="D55" s="41"/>
      <x:c r="E55" s="41"/>
      <x:c r="F55" s="55"/>
      <x:c r="G55" s="51"/>
      <x:c r="H55" s="51"/>
      <x:c r="I55" s="51"/>
      <x:c r="J55" s="51"/>
      <x:c r="K55" s="41"/>
      <x:c r="L55" s="41"/>
      <x:c r="M55" s="41"/>
      <x:c r="N55" s="41"/>
      <x:c r="O55" s="41"/>
      <x:c r="P55" s="59"/>
      <x:c r="Q55" s="59"/>
      <x:c r="R55" s="59"/>
      <x:c r="S55" s="59"/>
      <x:c r="T55" s="59"/>
      <x:c r="U55" s="59"/>
      <x:c r="V55" s="59"/>
      <x:c r="W55" s="41"/>
      <x:c r="X55" s="41"/>
      <x:c r="Y55" s="63"/>
      <x:c r="Z55" s="41"/>
      <x:c r="AA55" s="41"/>
      <x:c r="AB55" s="38" t="str">
        <x:f>IF(A55="","",IF(AND(B55&lt;&gt;"",C55&lt;&gt;"",D55&lt;&gt;"",E55&lt;&gt;"",F55&gt;0,G55&gt;0,H55&gt;0,M55&lt;&gt;"",N55&lt;&gt;"",O55&lt;&gt;""),IF(AND(W55&lt;&gt;"",Y55&lt;&gt;""),"Ready for review","Needs sources/specs"),"Incomplete"))</x:f>
      </x:c>
    </x:row>
    <x:row r="56">
      <x:c r="A56" s="41"/>
      <x:c r="B56" s="41"/>
      <x:c r="C56" s="41"/>
      <x:c r="D56" s="41"/>
      <x:c r="E56" s="41"/>
      <x:c r="F56" s="55"/>
      <x:c r="G56" s="51"/>
      <x:c r="H56" s="51"/>
      <x:c r="I56" s="51"/>
      <x:c r="J56" s="51"/>
      <x:c r="K56" s="41"/>
      <x:c r="L56" s="41"/>
      <x:c r="M56" s="41"/>
      <x:c r="N56" s="41"/>
      <x:c r="O56" s="41"/>
      <x:c r="P56" s="59"/>
      <x:c r="Q56" s="59"/>
      <x:c r="R56" s="59"/>
      <x:c r="S56" s="59"/>
      <x:c r="T56" s="59"/>
      <x:c r="U56" s="59"/>
      <x:c r="V56" s="59"/>
      <x:c r="W56" s="41"/>
      <x:c r="X56" s="41"/>
      <x:c r="Y56" s="63"/>
      <x:c r="Z56" s="41"/>
      <x:c r="AA56" s="41"/>
      <x:c r="AB56" s="38" t="str">
        <x:f>IF(A56="","",IF(AND(B56&lt;&gt;"",C56&lt;&gt;"",D56&lt;&gt;"",E56&lt;&gt;"",F56&gt;0,G56&gt;0,H56&gt;0,M56&lt;&gt;"",N56&lt;&gt;"",O56&lt;&gt;""),IF(AND(W56&lt;&gt;"",Y56&lt;&gt;""),"Ready for review","Needs sources/specs"),"Incomplete"))</x:f>
      </x:c>
    </x:row>
    <x:row r="57">
      <x:c r="A57" s="41"/>
      <x:c r="B57" s="41"/>
      <x:c r="C57" s="41"/>
      <x:c r="D57" s="41"/>
      <x:c r="E57" s="41"/>
      <x:c r="F57" s="55"/>
      <x:c r="G57" s="51"/>
      <x:c r="H57" s="51"/>
      <x:c r="I57" s="51"/>
      <x:c r="J57" s="51"/>
      <x:c r="K57" s="41"/>
      <x:c r="L57" s="41"/>
      <x:c r="M57" s="41"/>
      <x:c r="N57" s="41"/>
      <x:c r="O57" s="41"/>
      <x:c r="P57" s="59"/>
      <x:c r="Q57" s="59"/>
      <x:c r="R57" s="59"/>
      <x:c r="S57" s="59"/>
      <x:c r="T57" s="59"/>
      <x:c r="U57" s="59"/>
      <x:c r="V57" s="59"/>
      <x:c r="W57" s="41"/>
      <x:c r="X57" s="41"/>
      <x:c r="Y57" s="63"/>
      <x:c r="Z57" s="41"/>
      <x:c r="AA57" s="41"/>
      <x:c r="AB57" s="38" t="str">
        <x:f>IF(A57="","",IF(AND(B57&lt;&gt;"",C57&lt;&gt;"",D57&lt;&gt;"",E57&lt;&gt;"",F57&gt;0,G57&gt;0,H57&gt;0,M57&lt;&gt;"",N57&lt;&gt;"",O57&lt;&gt;""),IF(AND(W57&lt;&gt;"",Y57&lt;&gt;""),"Ready for review","Needs sources/specs"),"Incomplete"))</x:f>
      </x:c>
    </x:row>
    <x:row r="58">
      <x:c r="A58" s="41"/>
      <x:c r="B58" s="41"/>
      <x:c r="C58" s="41"/>
      <x:c r="D58" s="41"/>
      <x:c r="E58" s="41"/>
      <x:c r="F58" s="55"/>
      <x:c r="G58" s="51"/>
      <x:c r="H58" s="51"/>
      <x:c r="I58" s="51"/>
      <x:c r="J58" s="51"/>
      <x:c r="K58" s="41"/>
      <x:c r="L58" s="41"/>
      <x:c r="M58" s="41"/>
      <x:c r="N58" s="41"/>
      <x:c r="O58" s="41"/>
      <x:c r="P58" s="59"/>
      <x:c r="Q58" s="59"/>
      <x:c r="R58" s="59"/>
      <x:c r="S58" s="59"/>
      <x:c r="T58" s="59"/>
      <x:c r="U58" s="59"/>
      <x:c r="V58" s="59"/>
      <x:c r="W58" s="41"/>
      <x:c r="X58" s="41"/>
      <x:c r="Y58" s="63"/>
      <x:c r="Z58" s="41"/>
      <x:c r="AA58" s="41"/>
      <x:c r="AB58" s="38" t="str">
        <x:f>IF(A58="","",IF(AND(B58&lt;&gt;"",C58&lt;&gt;"",D58&lt;&gt;"",E58&lt;&gt;"",F58&gt;0,G58&gt;0,H58&gt;0,M58&lt;&gt;"",N58&lt;&gt;"",O58&lt;&gt;""),IF(AND(W58&lt;&gt;"",Y58&lt;&gt;""),"Ready for review","Needs sources/specs"),"Incomplete"))</x:f>
      </x:c>
    </x:row>
    <x:row r="59">
      <x:c r="A59" s="41"/>
      <x:c r="B59" s="41"/>
      <x:c r="C59" s="41"/>
      <x:c r="D59" s="41"/>
      <x:c r="E59" s="41"/>
      <x:c r="F59" s="55"/>
      <x:c r="G59" s="51"/>
      <x:c r="H59" s="51"/>
      <x:c r="I59" s="51"/>
      <x:c r="J59" s="51"/>
      <x:c r="K59" s="41"/>
      <x:c r="L59" s="41"/>
      <x:c r="M59" s="41"/>
      <x:c r="N59" s="41"/>
      <x:c r="O59" s="41"/>
      <x:c r="P59" s="59"/>
      <x:c r="Q59" s="59"/>
      <x:c r="R59" s="59"/>
      <x:c r="S59" s="59"/>
      <x:c r="T59" s="59"/>
      <x:c r="U59" s="59"/>
      <x:c r="V59" s="59"/>
      <x:c r="W59" s="41"/>
      <x:c r="X59" s="41"/>
      <x:c r="Y59" s="63"/>
      <x:c r="Z59" s="41"/>
      <x:c r="AA59" s="41"/>
      <x:c r="AB59" s="38" t="str">
        <x:f>IF(A59="","",IF(AND(B59&lt;&gt;"",C59&lt;&gt;"",D59&lt;&gt;"",E59&lt;&gt;"",F59&gt;0,G59&gt;0,H59&gt;0,M59&lt;&gt;"",N59&lt;&gt;"",O59&lt;&gt;""),IF(AND(W59&lt;&gt;"",Y59&lt;&gt;""),"Ready for review","Needs sources/specs"),"Incomplete"))</x:f>
      </x:c>
    </x:row>
    <x:row r="60">
      <x:c r="A60" s="41"/>
      <x:c r="B60" s="41"/>
      <x:c r="C60" s="41"/>
      <x:c r="D60" s="41"/>
      <x:c r="E60" s="41"/>
      <x:c r="F60" s="55"/>
      <x:c r="G60" s="51"/>
      <x:c r="H60" s="51"/>
      <x:c r="I60" s="51"/>
      <x:c r="J60" s="51"/>
      <x:c r="K60" s="41"/>
      <x:c r="L60" s="41"/>
      <x:c r="M60" s="41"/>
      <x:c r="N60" s="41"/>
      <x:c r="O60" s="41"/>
      <x:c r="P60" s="59"/>
      <x:c r="Q60" s="59"/>
      <x:c r="R60" s="59"/>
      <x:c r="S60" s="59"/>
      <x:c r="T60" s="59"/>
      <x:c r="U60" s="59"/>
      <x:c r="V60" s="59"/>
      <x:c r="W60" s="41"/>
      <x:c r="X60" s="41"/>
      <x:c r="Y60" s="63"/>
      <x:c r="Z60" s="41"/>
      <x:c r="AA60" s="41"/>
      <x:c r="AB60" s="38" t="str">
        <x:f>IF(A60="","",IF(AND(B60&lt;&gt;"",C60&lt;&gt;"",D60&lt;&gt;"",E60&lt;&gt;"",F60&gt;0,G60&gt;0,H60&gt;0,M60&lt;&gt;"",N60&lt;&gt;"",O60&lt;&gt;""),IF(AND(W60&lt;&gt;"",Y60&lt;&gt;""),"Ready for review","Needs sources/specs"),"Incomplete"))</x:f>
      </x:c>
    </x:row>
    <x:row r="61">
      <x:c r="A61" s="41"/>
      <x:c r="B61" s="41"/>
      <x:c r="C61" s="41"/>
      <x:c r="D61" s="41"/>
      <x:c r="E61" s="41"/>
      <x:c r="F61" s="55"/>
      <x:c r="G61" s="51"/>
      <x:c r="H61" s="51"/>
      <x:c r="I61" s="51"/>
      <x:c r="J61" s="51"/>
      <x:c r="K61" s="41"/>
      <x:c r="L61" s="41"/>
      <x:c r="M61" s="41"/>
      <x:c r="N61" s="41"/>
      <x:c r="O61" s="41"/>
      <x:c r="P61" s="59"/>
      <x:c r="Q61" s="59"/>
      <x:c r="R61" s="59"/>
      <x:c r="S61" s="59"/>
      <x:c r="T61" s="59"/>
      <x:c r="U61" s="59"/>
      <x:c r="V61" s="59"/>
      <x:c r="W61" s="41"/>
      <x:c r="X61" s="41"/>
      <x:c r="Y61" s="63"/>
      <x:c r="Z61" s="41"/>
      <x:c r="AA61" s="41"/>
      <x:c r="AB61" s="38" t="str">
        <x:f>IF(A61="","",IF(AND(B61&lt;&gt;"",C61&lt;&gt;"",D61&lt;&gt;"",E61&lt;&gt;"",F61&gt;0,G61&gt;0,H61&gt;0,M61&lt;&gt;"",N61&lt;&gt;"",O61&lt;&gt;""),IF(AND(W61&lt;&gt;"",Y61&lt;&gt;""),"Ready for review","Needs sources/specs"),"Incomplete"))</x:f>
      </x:c>
    </x:row>
    <x:row r="62">
      <x:c r="A62" s="41"/>
      <x:c r="B62" s="41"/>
      <x:c r="C62" s="41"/>
      <x:c r="D62" s="41"/>
      <x:c r="E62" s="41"/>
      <x:c r="F62" s="55"/>
      <x:c r="G62" s="51"/>
      <x:c r="H62" s="51"/>
      <x:c r="I62" s="51"/>
      <x:c r="J62" s="51"/>
      <x:c r="K62" s="41"/>
      <x:c r="L62" s="41"/>
      <x:c r="M62" s="41"/>
      <x:c r="N62" s="41"/>
      <x:c r="O62" s="41"/>
      <x:c r="P62" s="59"/>
      <x:c r="Q62" s="59"/>
      <x:c r="R62" s="59"/>
      <x:c r="S62" s="59"/>
      <x:c r="T62" s="59"/>
      <x:c r="U62" s="59"/>
      <x:c r="V62" s="59"/>
      <x:c r="W62" s="41"/>
      <x:c r="X62" s="41"/>
      <x:c r="Y62" s="63"/>
      <x:c r="Z62" s="41"/>
      <x:c r="AA62" s="41"/>
      <x:c r="AB62" s="38" t="str">
        <x:f>IF(A62="","",IF(AND(B62&lt;&gt;"",C62&lt;&gt;"",D62&lt;&gt;"",E62&lt;&gt;"",F62&gt;0,G62&gt;0,H62&gt;0,M62&lt;&gt;"",N62&lt;&gt;"",O62&lt;&gt;""),IF(AND(W62&lt;&gt;"",Y62&lt;&gt;""),"Ready for review","Needs sources/specs"),"Incomplete"))</x:f>
      </x:c>
    </x:row>
    <x:row r="63">
      <x:c r="A63" s="41"/>
      <x:c r="B63" s="41"/>
      <x:c r="C63" s="41"/>
      <x:c r="D63" s="41"/>
      <x:c r="E63" s="41"/>
      <x:c r="F63" s="55"/>
      <x:c r="G63" s="51"/>
      <x:c r="H63" s="51"/>
      <x:c r="I63" s="51"/>
      <x:c r="J63" s="51"/>
      <x:c r="K63" s="41"/>
      <x:c r="L63" s="41"/>
      <x:c r="M63" s="41"/>
      <x:c r="N63" s="41"/>
      <x:c r="O63" s="41"/>
      <x:c r="P63" s="59"/>
      <x:c r="Q63" s="59"/>
      <x:c r="R63" s="59"/>
      <x:c r="S63" s="59"/>
      <x:c r="T63" s="59"/>
      <x:c r="U63" s="59"/>
      <x:c r="V63" s="59"/>
      <x:c r="W63" s="41"/>
      <x:c r="X63" s="41"/>
      <x:c r="Y63" s="63"/>
      <x:c r="Z63" s="41"/>
      <x:c r="AA63" s="41"/>
      <x:c r="AB63" s="38" t="str">
        <x:f>IF(A63="","",IF(AND(B63&lt;&gt;"",C63&lt;&gt;"",D63&lt;&gt;"",E63&lt;&gt;"",F63&gt;0,G63&gt;0,H63&gt;0,M63&lt;&gt;"",N63&lt;&gt;"",O63&lt;&gt;""),IF(AND(W63&lt;&gt;"",Y63&lt;&gt;""),"Ready for review","Needs sources/specs"),"Incomplete"))</x:f>
      </x:c>
    </x:row>
    <x:row r="64">
      <x:c r="A64" s="41"/>
      <x:c r="B64" s="41"/>
      <x:c r="C64" s="41"/>
      <x:c r="D64" s="41"/>
      <x:c r="E64" s="41"/>
      <x:c r="F64" s="55"/>
      <x:c r="G64" s="51"/>
      <x:c r="H64" s="51"/>
      <x:c r="I64" s="51"/>
      <x:c r="J64" s="51"/>
      <x:c r="K64" s="41"/>
      <x:c r="L64" s="41"/>
      <x:c r="M64" s="41"/>
      <x:c r="N64" s="41"/>
      <x:c r="O64" s="41"/>
      <x:c r="P64" s="59"/>
      <x:c r="Q64" s="59"/>
      <x:c r="R64" s="59"/>
      <x:c r="S64" s="59"/>
      <x:c r="T64" s="59"/>
      <x:c r="U64" s="59"/>
      <x:c r="V64" s="59"/>
      <x:c r="W64" s="41"/>
      <x:c r="X64" s="41"/>
      <x:c r="Y64" s="63"/>
      <x:c r="Z64" s="41"/>
      <x:c r="AA64" s="41"/>
      <x:c r="AB64" s="38" t="str">
        <x:f>IF(A64="","",IF(AND(B64&lt;&gt;"",C64&lt;&gt;"",D64&lt;&gt;"",E64&lt;&gt;"",F64&gt;0,G64&gt;0,H64&gt;0,M64&lt;&gt;"",N64&lt;&gt;"",O64&lt;&gt;""),IF(AND(W64&lt;&gt;"",Y64&lt;&gt;""),"Ready for review","Needs sources/specs"),"Incomplete"))</x:f>
      </x:c>
    </x:row>
    <x:row r="65">
      <x:c r="A65" s="41"/>
      <x:c r="B65" s="41"/>
      <x:c r="C65" s="41"/>
      <x:c r="D65" s="41"/>
      <x:c r="E65" s="41"/>
      <x:c r="F65" s="55"/>
      <x:c r="G65" s="51"/>
      <x:c r="H65" s="51"/>
      <x:c r="I65" s="51"/>
      <x:c r="J65" s="51"/>
      <x:c r="K65" s="41"/>
      <x:c r="L65" s="41"/>
      <x:c r="M65" s="41"/>
      <x:c r="N65" s="41"/>
      <x:c r="O65" s="41"/>
      <x:c r="P65" s="59"/>
      <x:c r="Q65" s="59"/>
      <x:c r="R65" s="59"/>
      <x:c r="S65" s="59"/>
      <x:c r="T65" s="59"/>
      <x:c r="U65" s="59"/>
      <x:c r="V65" s="59"/>
      <x:c r="W65" s="41"/>
      <x:c r="X65" s="41"/>
      <x:c r="Y65" s="63"/>
      <x:c r="Z65" s="41"/>
      <x:c r="AA65" s="41"/>
      <x:c r="AB65" s="38" t="str">
        <x:f>IF(A65="","",IF(AND(B65&lt;&gt;"",C65&lt;&gt;"",D65&lt;&gt;"",E65&lt;&gt;"",F65&gt;0,G65&gt;0,H65&gt;0,M65&lt;&gt;"",N65&lt;&gt;"",O65&lt;&gt;""),IF(AND(W65&lt;&gt;"",Y65&lt;&gt;""),"Ready for review","Needs sources/specs"),"Incomplete"))</x:f>
      </x:c>
    </x:row>
    <x:row r="66">
      <x:c r="A66" s="41"/>
      <x:c r="B66" s="41"/>
      <x:c r="C66" s="41"/>
      <x:c r="D66" s="41"/>
      <x:c r="E66" s="41"/>
      <x:c r="F66" s="55"/>
      <x:c r="G66" s="51"/>
      <x:c r="H66" s="51"/>
      <x:c r="I66" s="51"/>
      <x:c r="J66" s="51"/>
      <x:c r="K66" s="41"/>
      <x:c r="L66" s="41"/>
      <x:c r="M66" s="41"/>
      <x:c r="N66" s="41"/>
      <x:c r="O66" s="41"/>
      <x:c r="P66" s="59"/>
      <x:c r="Q66" s="59"/>
      <x:c r="R66" s="59"/>
      <x:c r="S66" s="59"/>
      <x:c r="T66" s="59"/>
      <x:c r="U66" s="59"/>
      <x:c r="V66" s="59"/>
      <x:c r="W66" s="41"/>
      <x:c r="X66" s="41"/>
      <x:c r="Y66" s="63"/>
      <x:c r="Z66" s="41"/>
      <x:c r="AA66" s="41"/>
      <x:c r="AB66" s="38" t="str">
        <x:f>IF(A66="","",IF(AND(B66&lt;&gt;"",C66&lt;&gt;"",D66&lt;&gt;"",E66&lt;&gt;"",F66&gt;0,G66&gt;0,H66&gt;0,M66&lt;&gt;"",N66&lt;&gt;"",O66&lt;&gt;""),IF(AND(W66&lt;&gt;"",Y66&lt;&gt;""),"Ready for review","Needs sources/specs"),"Incomplete"))</x:f>
      </x:c>
    </x:row>
    <x:row r="67">
      <x:c r="A67" s="41"/>
      <x:c r="B67" s="41"/>
      <x:c r="C67" s="41"/>
      <x:c r="D67" s="41"/>
      <x:c r="E67" s="41"/>
      <x:c r="F67" s="55"/>
      <x:c r="G67" s="51"/>
      <x:c r="H67" s="51"/>
      <x:c r="I67" s="51"/>
      <x:c r="J67" s="51"/>
      <x:c r="K67" s="41"/>
      <x:c r="L67" s="41"/>
      <x:c r="M67" s="41"/>
      <x:c r="N67" s="41"/>
      <x:c r="O67" s="41"/>
      <x:c r="P67" s="59"/>
      <x:c r="Q67" s="59"/>
      <x:c r="R67" s="59"/>
      <x:c r="S67" s="59"/>
      <x:c r="T67" s="59"/>
      <x:c r="U67" s="59"/>
      <x:c r="V67" s="59"/>
      <x:c r="W67" s="41"/>
      <x:c r="X67" s="41"/>
      <x:c r="Y67" s="63"/>
      <x:c r="Z67" s="41"/>
      <x:c r="AA67" s="41"/>
      <x:c r="AB67" s="38" t="str">
        <x:f>IF(A67="","",IF(AND(B67&lt;&gt;"",C67&lt;&gt;"",D67&lt;&gt;"",E67&lt;&gt;"",F67&gt;0,G67&gt;0,H67&gt;0,M67&lt;&gt;"",N67&lt;&gt;"",O67&lt;&gt;""),IF(AND(W67&lt;&gt;"",Y67&lt;&gt;""),"Ready for review","Needs sources/specs"),"Incomplete"))</x:f>
      </x:c>
    </x:row>
    <x:row r="68">
      <x:c r="A68" s="41"/>
      <x:c r="B68" s="41"/>
      <x:c r="C68" s="41"/>
      <x:c r="D68" s="41"/>
      <x:c r="E68" s="41"/>
      <x:c r="F68" s="55"/>
      <x:c r="G68" s="51"/>
      <x:c r="H68" s="51"/>
      <x:c r="I68" s="51"/>
      <x:c r="J68" s="51"/>
      <x:c r="K68" s="41"/>
      <x:c r="L68" s="41"/>
      <x:c r="M68" s="41"/>
      <x:c r="N68" s="41"/>
      <x:c r="O68" s="41"/>
      <x:c r="P68" s="59"/>
      <x:c r="Q68" s="59"/>
      <x:c r="R68" s="59"/>
      <x:c r="S68" s="59"/>
      <x:c r="T68" s="59"/>
      <x:c r="U68" s="59"/>
      <x:c r="V68" s="59"/>
      <x:c r="W68" s="41"/>
      <x:c r="X68" s="41"/>
      <x:c r="Y68" s="63"/>
      <x:c r="Z68" s="41"/>
      <x:c r="AA68" s="41"/>
      <x:c r="AB68" s="38" t="str">
        <x:f>IF(A68="","",IF(AND(B68&lt;&gt;"",C68&lt;&gt;"",D68&lt;&gt;"",E68&lt;&gt;"",F68&gt;0,G68&gt;0,H68&gt;0,M68&lt;&gt;"",N68&lt;&gt;"",O68&lt;&gt;""),IF(AND(W68&lt;&gt;"",Y68&lt;&gt;""),"Ready for review","Needs sources/specs"),"Incomplete"))</x:f>
      </x:c>
    </x:row>
    <x:row r="69">
      <x:c r="A69" s="41"/>
      <x:c r="B69" s="41"/>
      <x:c r="C69" s="41"/>
      <x:c r="D69" s="41"/>
      <x:c r="E69" s="41"/>
      <x:c r="F69" s="55"/>
      <x:c r="G69" s="51"/>
      <x:c r="H69" s="51"/>
      <x:c r="I69" s="51"/>
      <x:c r="J69" s="51"/>
      <x:c r="K69" s="41"/>
      <x:c r="L69" s="41"/>
      <x:c r="M69" s="41"/>
      <x:c r="N69" s="41"/>
      <x:c r="O69" s="41"/>
      <x:c r="P69" s="59"/>
      <x:c r="Q69" s="59"/>
      <x:c r="R69" s="59"/>
      <x:c r="S69" s="59"/>
      <x:c r="T69" s="59"/>
      <x:c r="U69" s="59"/>
      <x:c r="V69" s="59"/>
      <x:c r="W69" s="41"/>
      <x:c r="X69" s="41"/>
      <x:c r="Y69" s="63"/>
      <x:c r="Z69" s="41"/>
      <x:c r="AA69" s="41"/>
      <x:c r="AB69" s="38" t="str">
        <x:f>IF(A69="","",IF(AND(B69&lt;&gt;"",C69&lt;&gt;"",D69&lt;&gt;"",E69&lt;&gt;"",F69&gt;0,G69&gt;0,H69&gt;0,M69&lt;&gt;"",N69&lt;&gt;"",O69&lt;&gt;""),IF(AND(W69&lt;&gt;"",Y69&lt;&gt;""),"Ready for review","Needs sources/specs"),"Incomplete"))</x:f>
      </x:c>
    </x:row>
    <x:row r="70">
      <x:c r="A70" s="41"/>
      <x:c r="B70" s="41"/>
      <x:c r="C70" s="41"/>
      <x:c r="D70" s="41"/>
      <x:c r="E70" s="41"/>
      <x:c r="F70" s="55"/>
      <x:c r="G70" s="51"/>
      <x:c r="H70" s="51"/>
      <x:c r="I70" s="51"/>
      <x:c r="J70" s="51"/>
      <x:c r="K70" s="41"/>
      <x:c r="L70" s="41"/>
      <x:c r="M70" s="41"/>
      <x:c r="N70" s="41"/>
      <x:c r="O70" s="41"/>
      <x:c r="P70" s="59"/>
      <x:c r="Q70" s="59"/>
      <x:c r="R70" s="59"/>
      <x:c r="S70" s="59"/>
      <x:c r="T70" s="59"/>
      <x:c r="U70" s="59"/>
      <x:c r="V70" s="59"/>
      <x:c r="W70" s="41"/>
      <x:c r="X70" s="41"/>
      <x:c r="Y70" s="63"/>
      <x:c r="Z70" s="41"/>
      <x:c r="AA70" s="41"/>
      <x:c r="AB70" s="38" t="str">
        <x:f>IF(A70="","",IF(AND(B70&lt;&gt;"",C70&lt;&gt;"",D70&lt;&gt;"",E70&lt;&gt;"",F70&gt;0,G70&gt;0,H70&gt;0,M70&lt;&gt;"",N70&lt;&gt;"",O70&lt;&gt;""),IF(AND(W70&lt;&gt;"",Y70&lt;&gt;""),"Ready for review","Needs sources/specs"),"Incomplete"))</x:f>
      </x:c>
    </x:row>
    <x:row r="71">
      <x:c r="A71" s="41"/>
      <x:c r="B71" s="41"/>
      <x:c r="C71" s="41"/>
      <x:c r="D71" s="41"/>
      <x:c r="E71" s="41"/>
      <x:c r="F71" s="55"/>
      <x:c r="G71" s="51"/>
      <x:c r="H71" s="51"/>
      <x:c r="I71" s="51"/>
      <x:c r="J71" s="51"/>
      <x:c r="K71" s="41"/>
      <x:c r="L71" s="41"/>
      <x:c r="M71" s="41"/>
      <x:c r="N71" s="41"/>
      <x:c r="O71" s="41"/>
      <x:c r="P71" s="59"/>
      <x:c r="Q71" s="59"/>
      <x:c r="R71" s="59"/>
      <x:c r="S71" s="59"/>
      <x:c r="T71" s="59"/>
      <x:c r="U71" s="59"/>
      <x:c r="V71" s="59"/>
      <x:c r="W71" s="41"/>
      <x:c r="X71" s="41"/>
      <x:c r="Y71" s="63"/>
      <x:c r="Z71" s="41"/>
      <x:c r="AA71" s="41"/>
      <x:c r="AB71" s="38" t="str">
        <x:f>IF(A71="","",IF(AND(B71&lt;&gt;"",C71&lt;&gt;"",D71&lt;&gt;"",E71&lt;&gt;"",F71&gt;0,G71&gt;0,H71&gt;0,M71&lt;&gt;"",N71&lt;&gt;"",O71&lt;&gt;""),IF(AND(W71&lt;&gt;"",Y71&lt;&gt;""),"Ready for review","Needs sources/specs"),"Incomplete"))</x:f>
      </x:c>
    </x:row>
    <x:row r="72">
      <x:c r="A72" s="41"/>
      <x:c r="B72" s="41"/>
      <x:c r="C72" s="41"/>
      <x:c r="D72" s="41"/>
      <x:c r="E72" s="41"/>
      <x:c r="F72" s="55"/>
      <x:c r="G72" s="51"/>
      <x:c r="H72" s="51"/>
      <x:c r="I72" s="51"/>
      <x:c r="J72" s="51"/>
      <x:c r="K72" s="41"/>
      <x:c r="L72" s="41"/>
      <x:c r="M72" s="41"/>
      <x:c r="N72" s="41"/>
      <x:c r="O72" s="41"/>
      <x:c r="P72" s="59"/>
      <x:c r="Q72" s="59"/>
      <x:c r="R72" s="59"/>
      <x:c r="S72" s="59"/>
      <x:c r="T72" s="59"/>
      <x:c r="U72" s="59"/>
      <x:c r="V72" s="59"/>
      <x:c r="W72" s="41"/>
      <x:c r="X72" s="41"/>
      <x:c r="Y72" s="63"/>
      <x:c r="Z72" s="41"/>
      <x:c r="AA72" s="41"/>
      <x:c r="AB72" s="38" t="str">
        <x:f>IF(A72="","",IF(AND(B72&lt;&gt;"",C72&lt;&gt;"",D72&lt;&gt;"",E72&lt;&gt;"",F72&gt;0,G72&gt;0,H72&gt;0,M72&lt;&gt;"",N72&lt;&gt;"",O72&lt;&gt;""),IF(AND(W72&lt;&gt;"",Y72&lt;&gt;""),"Ready for review","Needs sources/specs"),"Incomplete"))</x:f>
      </x:c>
    </x:row>
    <x:row r="73">
      <x:c r="A73" s="41"/>
      <x:c r="B73" s="41"/>
      <x:c r="C73" s="41"/>
      <x:c r="D73" s="41"/>
      <x:c r="E73" s="41"/>
      <x:c r="F73" s="55"/>
      <x:c r="G73" s="51"/>
      <x:c r="H73" s="51"/>
      <x:c r="I73" s="51"/>
      <x:c r="J73" s="51"/>
      <x:c r="K73" s="41"/>
      <x:c r="L73" s="41"/>
      <x:c r="M73" s="41"/>
      <x:c r="N73" s="41"/>
      <x:c r="O73" s="41"/>
      <x:c r="P73" s="59"/>
      <x:c r="Q73" s="59"/>
      <x:c r="R73" s="59"/>
      <x:c r="S73" s="59"/>
      <x:c r="T73" s="59"/>
      <x:c r="U73" s="59"/>
      <x:c r="V73" s="59"/>
      <x:c r="W73" s="41"/>
      <x:c r="X73" s="41"/>
      <x:c r="Y73" s="63"/>
      <x:c r="Z73" s="41"/>
      <x:c r="AA73" s="41"/>
      <x:c r="AB73" s="38" t="str">
        <x:f>IF(A73="","",IF(AND(B73&lt;&gt;"",C73&lt;&gt;"",D73&lt;&gt;"",E73&lt;&gt;"",F73&gt;0,G73&gt;0,H73&gt;0,M73&lt;&gt;"",N73&lt;&gt;"",O73&lt;&gt;""),IF(AND(W73&lt;&gt;"",Y73&lt;&gt;""),"Ready for review","Needs sources/specs"),"Incomplete"))</x:f>
      </x:c>
    </x:row>
    <x:row r="74">
      <x:c r="A74" s="41"/>
      <x:c r="B74" s="41"/>
      <x:c r="C74" s="41"/>
      <x:c r="D74" s="41"/>
      <x:c r="E74" s="41"/>
      <x:c r="F74" s="55"/>
      <x:c r="G74" s="51"/>
      <x:c r="H74" s="51"/>
      <x:c r="I74" s="51"/>
      <x:c r="J74" s="51"/>
      <x:c r="K74" s="41"/>
      <x:c r="L74" s="41"/>
      <x:c r="M74" s="41"/>
      <x:c r="N74" s="41"/>
      <x:c r="O74" s="41"/>
      <x:c r="P74" s="59"/>
      <x:c r="Q74" s="59"/>
      <x:c r="R74" s="59"/>
      <x:c r="S74" s="59"/>
      <x:c r="T74" s="59"/>
      <x:c r="U74" s="59"/>
      <x:c r="V74" s="59"/>
      <x:c r="W74" s="41"/>
      <x:c r="X74" s="41"/>
      <x:c r="Y74" s="63"/>
      <x:c r="Z74" s="41"/>
      <x:c r="AA74" s="41"/>
      <x:c r="AB74" s="38" t="str">
        <x:f>IF(A74="","",IF(AND(B74&lt;&gt;"",C74&lt;&gt;"",D74&lt;&gt;"",E74&lt;&gt;"",F74&gt;0,G74&gt;0,H74&gt;0,M74&lt;&gt;"",N74&lt;&gt;"",O74&lt;&gt;""),IF(AND(W74&lt;&gt;"",Y74&lt;&gt;""),"Ready for review","Needs sources/specs"),"Incomplete"))</x:f>
      </x:c>
    </x:row>
    <x:row r="75">
      <x:c r="A75" s="41"/>
      <x:c r="B75" s="41"/>
      <x:c r="C75" s="41"/>
      <x:c r="D75" s="41"/>
      <x:c r="E75" s="41"/>
      <x:c r="F75" s="55"/>
      <x:c r="G75" s="51"/>
      <x:c r="H75" s="51"/>
      <x:c r="I75" s="51"/>
      <x:c r="J75" s="51"/>
      <x:c r="K75" s="41"/>
      <x:c r="L75" s="41"/>
      <x:c r="M75" s="41"/>
      <x:c r="N75" s="41"/>
      <x:c r="O75" s="41"/>
      <x:c r="P75" s="59"/>
      <x:c r="Q75" s="59"/>
      <x:c r="R75" s="59"/>
      <x:c r="S75" s="59"/>
      <x:c r="T75" s="59"/>
      <x:c r="U75" s="59"/>
      <x:c r="V75" s="59"/>
      <x:c r="W75" s="41"/>
      <x:c r="X75" s="41"/>
      <x:c r="Y75" s="63"/>
      <x:c r="Z75" s="41"/>
      <x:c r="AA75" s="41"/>
      <x:c r="AB75" s="38" t="str">
        <x:f>IF(A75="","",IF(AND(B75&lt;&gt;"",C75&lt;&gt;"",D75&lt;&gt;"",E75&lt;&gt;"",F75&gt;0,G75&gt;0,H75&gt;0,M75&lt;&gt;"",N75&lt;&gt;"",O75&lt;&gt;""),IF(AND(W75&lt;&gt;"",Y75&lt;&gt;""),"Ready for review","Needs sources/specs"),"Incomplete"))</x:f>
      </x:c>
    </x:row>
    <x:row r="76">
      <x:c r="A76" s="41"/>
      <x:c r="B76" s="41"/>
      <x:c r="C76" s="41"/>
      <x:c r="D76" s="41"/>
      <x:c r="E76" s="41"/>
      <x:c r="F76" s="55"/>
      <x:c r="G76" s="51"/>
      <x:c r="H76" s="51"/>
      <x:c r="I76" s="51"/>
      <x:c r="J76" s="51"/>
      <x:c r="K76" s="41"/>
      <x:c r="L76" s="41"/>
      <x:c r="M76" s="41"/>
      <x:c r="N76" s="41"/>
      <x:c r="O76" s="41"/>
      <x:c r="P76" s="59"/>
      <x:c r="Q76" s="59"/>
      <x:c r="R76" s="59"/>
      <x:c r="S76" s="59"/>
      <x:c r="T76" s="59"/>
      <x:c r="U76" s="59"/>
      <x:c r="V76" s="59"/>
      <x:c r="W76" s="41"/>
      <x:c r="X76" s="41"/>
      <x:c r="Y76" s="63"/>
      <x:c r="Z76" s="41"/>
      <x:c r="AA76" s="41"/>
      <x:c r="AB76" s="38" t="str">
        <x:f>IF(A76="","",IF(AND(B76&lt;&gt;"",C76&lt;&gt;"",D76&lt;&gt;"",E76&lt;&gt;"",F76&gt;0,G76&gt;0,H76&gt;0,M76&lt;&gt;"",N76&lt;&gt;"",O76&lt;&gt;""),IF(AND(W76&lt;&gt;"",Y76&lt;&gt;""),"Ready for review","Needs sources/specs"),"Incomplete"))</x:f>
      </x:c>
    </x:row>
    <x:row r="77">
      <x:c r="A77" s="41"/>
      <x:c r="B77" s="41"/>
      <x:c r="C77" s="41"/>
      <x:c r="D77" s="41"/>
      <x:c r="E77" s="41"/>
      <x:c r="F77" s="55"/>
      <x:c r="G77" s="51"/>
      <x:c r="H77" s="51"/>
      <x:c r="I77" s="51"/>
      <x:c r="J77" s="51"/>
      <x:c r="K77" s="41"/>
      <x:c r="L77" s="41"/>
      <x:c r="M77" s="41"/>
      <x:c r="N77" s="41"/>
      <x:c r="O77" s="41"/>
      <x:c r="P77" s="59"/>
      <x:c r="Q77" s="59"/>
      <x:c r="R77" s="59"/>
      <x:c r="S77" s="59"/>
      <x:c r="T77" s="59"/>
      <x:c r="U77" s="59"/>
      <x:c r="V77" s="59"/>
      <x:c r="W77" s="41"/>
      <x:c r="X77" s="41"/>
      <x:c r="Y77" s="63"/>
      <x:c r="Z77" s="41"/>
      <x:c r="AA77" s="41"/>
      <x:c r="AB77" s="38" t="str">
        <x:f>IF(A77="","",IF(AND(B77&lt;&gt;"",C77&lt;&gt;"",D77&lt;&gt;"",E77&lt;&gt;"",F77&gt;0,G77&gt;0,H77&gt;0,M77&lt;&gt;"",N77&lt;&gt;"",O77&lt;&gt;""),IF(AND(W77&lt;&gt;"",Y77&lt;&gt;""),"Ready for review","Needs sources/specs"),"Incomplete"))</x:f>
      </x:c>
    </x:row>
    <x:row r="78">
      <x:c r="A78" s="41"/>
      <x:c r="B78" s="41"/>
      <x:c r="C78" s="41"/>
      <x:c r="D78" s="41"/>
      <x:c r="E78" s="41"/>
      <x:c r="F78" s="55"/>
      <x:c r="G78" s="51"/>
      <x:c r="H78" s="51"/>
      <x:c r="I78" s="51"/>
      <x:c r="J78" s="51"/>
      <x:c r="K78" s="41"/>
      <x:c r="L78" s="41"/>
      <x:c r="M78" s="41"/>
      <x:c r="N78" s="41"/>
      <x:c r="O78" s="41"/>
      <x:c r="P78" s="59"/>
      <x:c r="Q78" s="59"/>
      <x:c r="R78" s="59"/>
      <x:c r="S78" s="59"/>
      <x:c r="T78" s="59"/>
      <x:c r="U78" s="59"/>
      <x:c r="V78" s="59"/>
      <x:c r="W78" s="41"/>
      <x:c r="X78" s="41"/>
      <x:c r="Y78" s="63"/>
      <x:c r="Z78" s="41"/>
      <x:c r="AA78" s="41"/>
      <x:c r="AB78" s="38" t="str">
        <x:f>IF(A78="","",IF(AND(B78&lt;&gt;"",C78&lt;&gt;"",D78&lt;&gt;"",E78&lt;&gt;"",F78&gt;0,G78&gt;0,H78&gt;0,M78&lt;&gt;"",N78&lt;&gt;"",O78&lt;&gt;""),IF(AND(W78&lt;&gt;"",Y78&lt;&gt;""),"Ready for review","Needs sources/specs"),"Incomplete"))</x:f>
      </x:c>
    </x:row>
    <x:row r="79">
      <x:c r="A79" s="41"/>
      <x:c r="B79" s="41"/>
      <x:c r="C79" s="41"/>
      <x:c r="D79" s="41"/>
      <x:c r="E79" s="41"/>
      <x:c r="F79" s="55"/>
      <x:c r="G79" s="51"/>
      <x:c r="H79" s="51"/>
      <x:c r="I79" s="51"/>
      <x:c r="J79" s="51"/>
      <x:c r="K79" s="41"/>
      <x:c r="L79" s="41"/>
      <x:c r="M79" s="41"/>
      <x:c r="N79" s="41"/>
      <x:c r="O79" s="41"/>
      <x:c r="P79" s="59"/>
      <x:c r="Q79" s="59"/>
      <x:c r="R79" s="59"/>
      <x:c r="S79" s="59"/>
      <x:c r="T79" s="59"/>
      <x:c r="U79" s="59"/>
      <x:c r="V79" s="59"/>
      <x:c r="W79" s="41"/>
      <x:c r="X79" s="41"/>
      <x:c r="Y79" s="63"/>
      <x:c r="Z79" s="41"/>
      <x:c r="AA79" s="41"/>
      <x:c r="AB79" s="38" t="str">
        <x:f>IF(A79="","",IF(AND(B79&lt;&gt;"",C79&lt;&gt;"",D79&lt;&gt;"",E79&lt;&gt;"",F79&gt;0,G79&gt;0,H79&gt;0,M79&lt;&gt;"",N79&lt;&gt;"",O79&lt;&gt;""),IF(AND(W79&lt;&gt;"",Y79&lt;&gt;""),"Ready for review","Needs sources/specs"),"Incomplete"))</x:f>
      </x:c>
    </x:row>
    <x:row r="80">
      <x:c r="A80" s="41"/>
      <x:c r="B80" s="41"/>
      <x:c r="C80" s="41"/>
      <x:c r="D80" s="41"/>
      <x:c r="E80" s="41"/>
      <x:c r="F80" s="55"/>
      <x:c r="G80" s="51"/>
      <x:c r="H80" s="51"/>
      <x:c r="I80" s="51"/>
      <x:c r="J80" s="51"/>
      <x:c r="K80" s="41"/>
      <x:c r="L80" s="41"/>
      <x:c r="M80" s="41"/>
      <x:c r="N80" s="41"/>
      <x:c r="O80" s="41"/>
      <x:c r="P80" s="59"/>
      <x:c r="Q80" s="59"/>
      <x:c r="R80" s="59"/>
      <x:c r="S80" s="59"/>
      <x:c r="T80" s="59"/>
      <x:c r="U80" s="59"/>
      <x:c r="V80" s="59"/>
      <x:c r="W80" s="41"/>
      <x:c r="X80" s="41"/>
      <x:c r="Y80" s="63"/>
      <x:c r="Z80" s="41"/>
      <x:c r="AA80" s="41"/>
      <x:c r="AB80" s="38" t="str">
        <x:f>IF(A80="","",IF(AND(B80&lt;&gt;"",C80&lt;&gt;"",D80&lt;&gt;"",E80&lt;&gt;"",F80&gt;0,G80&gt;0,H80&gt;0,M80&lt;&gt;"",N80&lt;&gt;"",O80&lt;&gt;""),IF(AND(W80&lt;&gt;"",Y80&lt;&gt;""),"Ready for review","Needs sources/specs"),"Incomplete"))</x:f>
      </x:c>
    </x:row>
    <x:row r="81">
      <x:c r="A81" s="41"/>
      <x:c r="B81" s="41"/>
      <x:c r="C81" s="41"/>
      <x:c r="D81" s="41"/>
      <x:c r="E81" s="41"/>
      <x:c r="F81" s="55"/>
      <x:c r="G81" s="51"/>
      <x:c r="H81" s="51"/>
      <x:c r="I81" s="51"/>
      <x:c r="J81" s="51"/>
      <x:c r="K81" s="41"/>
      <x:c r="L81" s="41"/>
      <x:c r="M81" s="41"/>
      <x:c r="N81" s="41"/>
      <x:c r="O81" s="41"/>
      <x:c r="P81" s="59"/>
      <x:c r="Q81" s="59"/>
      <x:c r="R81" s="59"/>
      <x:c r="S81" s="59"/>
      <x:c r="T81" s="59"/>
      <x:c r="U81" s="59"/>
      <x:c r="V81" s="59"/>
      <x:c r="W81" s="41"/>
      <x:c r="X81" s="41"/>
      <x:c r="Y81" s="63"/>
      <x:c r="Z81" s="41"/>
      <x:c r="AA81" s="41"/>
      <x:c r="AB81" s="38" t="str">
        <x:f>IF(A81="","",IF(AND(B81&lt;&gt;"",C81&lt;&gt;"",D81&lt;&gt;"",E81&lt;&gt;"",F81&gt;0,G81&gt;0,H81&gt;0,M81&lt;&gt;"",N81&lt;&gt;"",O81&lt;&gt;""),IF(AND(W81&lt;&gt;"",Y81&lt;&gt;""),"Ready for review","Needs sources/specs"),"Incomplete"))</x:f>
      </x:c>
    </x:row>
    <x:row r="82">
      <x:c r="A82" s="41"/>
      <x:c r="B82" s="41"/>
      <x:c r="C82" s="41"/>
      <x:c r="D82" s="41"/>
      <x:c r="E82" s="41"/>
      <x:c r="F82" s="55"/>
      <x:c r="G82" s="51"/>
      <x:c r="H82" s="51"/>
      <x:c r="I82" s="51"/>
      <x:c r="J82" s="51"/>
      <x:c r="K82" s="41"/>
      <x:c r="L82" s="41"/>
      <x:c r="M82" s="41"/>
      <x:c r="N82" s="41"/>
      <x:c r="O82" s="41"/>
      <x:c r="P82" s="59"/>
      <x:c r="Q82" s="59"/>
      <x:c r="R82" s="59"/>
      <x:c r="S82" s="59"/>
      <x:c r="T82" s="59"/>
      <x:c r="U82" s="59"/>
      <x:c r="V82" s="59"/>
      <x:c r="W82" s="41"/>
      <x:c r="X82" s="41"/>
      <x:c r="Y82" s="63"/>
      <x:c r="Z82" s="41"/>
      <x:c r="AA82" s="41"/>
      <x:c r="AB82" s="38" t="str">
        <x:f>IF(A82="","",IF(AND(B82&lt;&gt;"",C82&lt;&gt;"",D82&lt;&gt;"",E82&lt;&gt;"",F82&gt;0,G82&gt;0,H82&gt;0,M82&lt;&gt;"",N82&lt;&gt;"",O82&lt;&gt;""),IF(AND(W82&lt;&gt;"",Y82&lt;&gt;""),"Ready for review","Needs sources/specs"),"Incomplete"))</x:f>
      </x:c>
    </x:row>
    <x:row r="83">
      <x:c r="A83" s="41"/>
      <x:c r="B83" s="41"/>
      <x:c r="C83" s="41"/>
      <x:c r="D83" s="41"/>
      <x:c r="E83" s="41"/>
      <x:c r="F83" s="55"/>
      <x:c r="G83" s="51"/>
      <x:c r="H83" s="51"/>
      <x:c r="I83" s="51"/>
      <x:c r="J83" s="51"/>
      <x:c r="K83" s="41"/>
      <x:c r="L83" s="41"/>
      <x:c r="M83" s="41"/>
      <x:c r="N83" s="41"/>
      <x:c r="O83" s="41"/>
      <x:c r="P83" s="59"/>
      <x:c r="Q83" s="59"/>
      <x:c r="R83" s="59"/>
      <x:c r="S83" s="59"/>
      <x:c r="T83" s="59"/>
      <x:c r="U83" s="59"/>
      <x:c r="V83" s="59"/>
      <x:c r="W83" s="41"/>
      <x:c r="X83" s="41"/>
      <x:c r="Y83" s="63"/>
      <x:c r="Z83" s="41"/>
      <x:c r="AA83" s="41"/>
      <x:c r="AB83" s="38" t="str">
        <x:f>IF(A83="","",IF(AND(B83&lt;&gt;"",C83&lt;&gt;"",D83&lt;&gt;"",E83&lt;&gt;"",F83&gt;0,G83&gt;0,H83&gt;0,M83&lt;&gt;"",N83&lt;&gt;"",O83&lt;&gt;""),IF(AND(W83&lt;&gt;"",Y83&lt;&gt;""),"Ready for review","Needs sources/specs"),"Incomplete"))</x:f>
      </x:c>
    </x:row>
    <x:row r="84">
      <x:c r="A84" s="41"/>
      <x:c r="B84" s="41"/>
      <x:c r="C84" s="41"/>
      <x:c r="D84" s="41"/>
      <x:c r="E84" s="41"/>
      <x:c r="F84" s="55"/>
      <x:c r="G84" s="51"/>
      <x:c r="H84" s="51"/>
      <x:c r="I84" s="51"/>
      <x:c r="J84" s="51"/>
      <x:c r="K84" s="41"/>
      <x:c r="L84" s="41"/>
      <x:c r="M84" s="41"/>
      <x:c r="N84" s="41"/>
      <x:c r="O84" s="41"/>
      <x:c r="P84" s="59"/>
      <x:c r="Q84" s="59"/>
      <x:c r="R84" s="59"/>
      <x:c r="S84" s="59"/>
      <x:c r="T84" s="59"/>
      <x:c r="U84" s="59"/>
      <x:c r="V84" s="59"/>
      <x:c r="W84" s="41"/>
      <x:c r="X84" s="41"/>
      <x:c r="Y84" s="63"/>
      <x:c r="Z84" s="41"/>
      <x:c r="AA84" s="41"/>
      <x:c r="AB84" s="38" t="str">
        <x:f>IF(A84="","",IF(AND(B84&lt;&gt;"",C84&lt;&gt;"",D84&lt;&gt;"",E84&lt;&gt;"",F84&gt;0,G84&gt;0,H84&gt;0,M84&lt;&gt;"",N84&lt;&gt;"",O84&lt;&gt;""),IF(AND(W84&lt;&gt;"",Y84&lt;&gt;""),"Ready for review","Needs sources/specs"),"Incomplete"))</x:f>
      </x:c>
    </x:row>
    <x:row r="85">
      <x:c r="A85" s="41"/>
      <x:c r="B85" s="41"/>
      <x:c r="C85" s="41"/>
      <x:c r="D85" s="41"/>
      <x:c r="E85" s="41"/>
      <x:c r="F85" s="55"/>
      <x:c r="G85" s="51"/>
      <x:c r="H85" s="51"/>
      <x:c r="I85" s="51"/>
      <x:c r="J85" s="51"/>
      <x:c r="K85" s="41"/>
      <x:c r="L85" s="41"/>
      <x:c r="M85" s="41"/>
      <x:c r="N85" s="41"/>
      <x:c r="O85" s="41"/>
      <x:c r="P85" s="59"/>
      <x:c r="Q85" s="59"/>
      <x:c r="R85" s="59"/>
      <x:c r="S85" s="59"/>
      <x:c r="T85" s="59"/>
      <x:c r="U85" s="59"/>
      <x:c r="V85" s="59"/>
      <x:c r="W85" s="41"/>
      <x:c r="X85" s="41"/>
      <x:c r="Y85" s="63"/>
      <x:c r="Z85" s="41"/>
      <x:c r="AA85" s="41"/>
      <x:c r="AB85" s="38" t="str">
        <x:f>IF(A85="","",IF(AND(B85&lt;&gt;"",C85&lt;&gt;"",D85&lt;&gt;"",E85&lt;&gt;"",F85&gt;0,G85&gt;0,H85&gt;0,M85&lt;&gt;"",N85&lt;&gt;"",O85&lt;&gt;""),IF(AND(W85&lt;&gt;"",Y85&lt;&gt;""),"Ready for review","Needs sources/specs"),"Incomplete"))</x:f>
      </x:c>
    </x:row>
    <x:row r="86">
      <x:c r="A86" s="41"/>
      <x:c r="B86" s="41"/>
      <x:c r="C86" s="41"/>
      <x:c r="D86" s="41"/>
      <x:c r="E86" s="41"/>
      <x:c r="F86" s="55"/>
      <x:c r="G86" s="51"/>
      <x:c r="H86" s="51"/>
      <x:c r="I86" s="51"/>
      <x:c r="J86" s="51"/>
      <x:c r="K86" s="41"/>
      <x:c r="L86" s="41"/>
      <x:c r="M86" s="41"/>
      <x:c r="N86" s="41"/>
      <x:c r="O86" s="41"/>
      <x:c r="P86" s="59"/>
      <x:c r="Q86" s="59"/>
      <x:c r="R86" s="59"/>
      <x:c r="S86" s="59"/>
      <x:c r="T86" s="59"/>
      <x:c r="U86" s="59"/>
      <x:c r="V86" s="59"/>
      <x:c r="W86" s="41"/>
      <x:c r="X86" s="41"/>
      <x:c r="Y86" s="63"/>
      <x:c r="Z86" s="41"/>
      <x:c r="AA86" s="41"/>
      <x:c r="AB86" s="38" t="str">
        <x:f>IF(A86="","",IF(AND(B86&lt;&gt;"",C86&lt;&gt;"",D86&lt;&gt;"",E86&lt;&gt;"",F86&gt;0,G86&gt;0,H86&gt;0,M86&lt;&gt;"",N86&lt;&gt;"",O86&lt;&gt;""),IF(AND(W86&lt;&gt;"",Y86&lt;&gt;""),"Ready for review","Needs sources/specs"),"Incomplete"))</x:f>
      </x:c>
    </x:row>
    <x:row r="87">
      <x:c r="A87" s="41"/>
      <x:c r="B87" s="41"/>
      <x:c r="C87" s="41"/>
      <x:c r="D87" s="41"/>
      <x:c r="E87" s="41"/>
      <x:c r="F87" s="55"/>
      <x:c r="G87" s="51"/>
      <x:c r="H87" s="51"/>
      <x:c r="I87" s="51"/>
      <x:c r="J87" s="51"/>
      <x:c r="K87" s="41"/>
      <x:c r="L87" s="41"/>
      <x:c r="M87" s="41"/>
      <x:c r="N87" s="41"/>
      <x:c r="O87" s="41"/>
      <x:c r="P87" s="59"/>
      <x:c r="Q87" s="59"/>
      <x:c r="R87" s="59"/>
      <x:c r="S87" s="59"/>
      <x:c r="T87" s="59"/>
      <x:c r="U87" s="59"/>
      <x:c r="V87" s="59"/>
      <x:c r="W87" s="41"/>
      <x:c r="X87" s="41"/>
      <x:c r="Y87" s="63"/>
      <x:c r="Z87" s="41"/>
      <x:c r="AA87" s="41"/>
      <x:c r="AB87" s="38" t="str">
        <x:f>IF(A87="","",IF(AND(B87&lt;&gt;"",C87&lt;&gt;"",D87&lt;&gt;"",E87&lt;&gt;"",F87&gt;0,G87&gt;0,H87&gt;0,M87&lt;&gt;"",N87&lt;&gt;"",O87&lt;&gt;""),IF(AND(W87&lt;&gt;"",Y87&lt;&gt;""),"Ready for review","Needs sources/specs"),"Incomplete"))</x:f>
      </x:c>
    </x:row>
    <x:row r="88">
      <x:c r="A88" s="41"/>
      <x:c r="B88" s="41"/>
      <x:c r="C88" s="41"/>
      <x:c r="D88" s="41"/>
      <x:c r="E88" s="41"/>
      <x:c r="F88" s="55"/>
      <x:c r="G88" s="51"/>
      <x:c r="H88" s="51"/>
      <x:c r="I88" s="51"/>
      <x:c r="J88" s="51"/>
      <x:c r="K88" s="41"/>
      <x:c r="L88" s="41"/>
      <x:c r="M88" s="41"/>
      <x:c r="N88" s="41"/>
      <x:c r="O88" s="41"/>
      <x:c r="P88" s="59"/>
      <x:c r="Q88" s="59"/>
      <x:c r="R88" s="59"/>
      <x:c r="S88" s="59"/>
      <x:c r="T88" s="59"/>
      <x:c r="U88" s="59"/>
      <x:c r="V88" s="59"/>
      <x:c r="W88" s="41"/>
      <x:c r="X88" s="41"/>
      <x:c r="Y88" s="63"/>
      <x:c r="Z88" s="41"/>
      <x:c r="AA88" s="41"/>
      <x:c r="AB88" s="38" t="str">
        <x:f>IF(A88="","",IF(AND(B88&lt;&gt;"",C88&lt;&gt;"",D88&lt;&gt;"",E88&lt;&gt;"",F88&gt;0,G88&gt;0,H88&gt;0,M88&lt;&gt;"",N88&lt;&gt;"",O88&lt;&gt;""),IF(AND(W88&lt;&gt;"",Y88&lt;&gt;""),"Ready for review","Needs sources/specs"),"Incomplete"))</x:f>
      </x:c>
    </x:row>
    <x:row r="89">
      <x:c r="A89" s="41"/>
      <x:c r="B89" s="41"/>
      <x:c r="C89" s="41"/>
      <x:c r="D89" s="41"/>
      <x:c r="E89" s="41"/>
      <x:c r="F89" s="55"/>
      <x:c r="G89" s="51"/>
      <x:c r="H89" s="51"/>
      <x:c r="I89" s="51"/>
      <x:c r="J89" s="51"/>
      <x:c r="K89" s="41"/>
      <x:c r="L89" s="41"/>
      <x:c r="M89" s="41"/>
      <x:c r="N89" s="41"/>
      <x:c r="O89" s="41"/>
      <x:c r="P89" s="59"/>
      <x:c r="Q89" s="59"/>
      <x:c r="R89" s="59"/>
      <x:c r="S89" s="59"/>
      <x:c r="T89" s="59"/>
      <x:c r="U89" s="59"/>
      <x:c r="V89" s="59"/>
      <x:c r="W89" s="41"/>
      <x:c r="X89" s="41"/>
      <x:c r="Y89" s="63"/>
      <x:c r="Z89" s="41"/>
      <x:c r="AA89" s="41"/>
      <x:c r="AB89" s="38" t="str">
        <x:f>IF(A89="","",IF(AND(B89&lt;&gt;"",C89&lt;&gt;"",D89&lt;&gt;"",E89&lt;&gt;"",F89&gt;0,G89&gt;0,H89&gt;0,M89&lt;&gt;"",N89&lt;&gt;"",O89&lt;&gt;""),IF(AND(W89&lt;&gt;"",Y89&lt;&gt;""),"Ready for review","Needs sources/specs"),"Incomplete"))</x:f>
      </x:c>
    </x:row>
    <x:row r="90">
      <x:c r="A90" s="41"/>
      <x:c r="B90" s="41"/>
      <x:c r="C90" s="41"/>
      <x:c r="D90" s="41"/>
      <x:c r="E90" s="41"/>
      <x:c r="F90" s="55"/>
      <x:c r="G90" s="51"/>
      <x:c r="H90" s="51"/>
      <x:c r="I90" s="51"/>
      <x:c r="J90" s="51"/>
      <x:c r="K90" s="41"/>
      <x:c r="L90" s="41"/>
      <x:c r="M90" s="41"/>
      <x:c r="N90" s="41"/>
      <x:c r="O90" s="41"/>
      <x:c r="P90" s="59"/>
      <x:c r="Q90" s="59"/>
      <x:c r="R90" s="59"/>
      <x:c r="S90" s="59"/>
      <x:c r="T90" s="59"/>
      <x:c r="U90" s="59"/>
      <x:c r="V90" s="59"/>
      <x:c r="W90" s="41"/>
      <x:c r="X90" s="41"/>
      <x:c r="Y90" s="63"/>
      <x:c r="Z90" s="41"/>
      <x:c r="AA90" s="41"/>
      <x:c r="AB90" s="38" t="str">
        <x:f>IF(A90="","",IF(AND(B90&lt;&gt;"",C90&lt;&gt;"",D90&lt;&gt;"",E90&lt;&gt;"",F90&gt;0,G90&gt;0,H90&gt;0,M90&lt;&gt;"",N90&lt;&gt;"",O90&lt;&gt;""),IF(AND(W90&lt;&gt;"",Y90&lt;&gt;""),"Ready for review","Needs sources/specs"),"Incomplete"))</x:f>
      </x:c>
    </x:row>
    <x:row r="91">
      <x:c r="A91" s="41"/>
      <x:c r="B91" s="41"/>
      <x:c r="C91" s="41"/>
      <x:c r="D91" s="41"/>
      <x:c r="E91" s="41"/>
      <x:c r="F91" s="55"/>
      <x:c r="G91" s="51"/>
      <x:c r="H91" s="51"/>
      <x:c r="I91" s="51"/>
      <x:c r="J91" s="51"/>
      <x:c r="K91" s="41"/>
      <x:c r="L91" s="41"/>
      <x:c r="M91" s="41"/>
      <x:c r="N91" s="41"/>
      <x:c r="O91" s="41"/>
      <x:c r="P91" s="59"/>
      <x:c r="Q91" s="59"/>
      <x:c r="R91" s="59"/>
      <x:c r="S91" s="59"/>
      <x:c r="T91" s="59"/>
      <x:c r="U91" s="59"/>
      <x:c r="V91" s="59"/>
      <x:c r="W91" s="41"/>
      <x:c r="X91" s="41"/>
      <x:c r="Y91" s="63"/>
      <x:c r="Z91" s="41"/>
      <x:c r="AA91" s="41"/>
      <x:c r="AB91" s="38" t="str">
        <x:f>IF(A91="","",IF(AND(B91&lt;&gt;"",C91&lt;&gt;"",D91&lt;&gt;"",E91&lt;&gt;"",F91&gt;0,G91&gt;0,H91&gt;0,M91&lt;&gt;"",N91&lt;&gt;"",O91&lt;&gt;""),IF(AND(W91&lt;&gt;"",Y91&lt;&gt;""),"Ready for review","Needs sources/specs"),"Incomplete"))</x:f>
      </x:c>
    </x:row>
    <x:row r="92">
      <x:c r="A92" s="41"/>
      <x:c r="B92" s="41"/>
      <x:c r="C92" s="41"/>
      <x:c r="D92" s="41"/>
      <x:c r="E92" s="41"/>
      <x:c r="F92" s="55"/>
      <x:c r="G92" s="51"/>
      <x:c r="H92" s="51"/>
      <x:c r="I92" s="51"/>
      <x:c r="J92" s="51"/>
      <x:c r="K92" s="41"/>
      <x:c r="L92" s="41"/>
      <x:c r="M92" s="41"/>
      <x:c r="N92" s="41"/>
      <x:c r="O92" s="41"/>
      <x:c r="P92" s="59"/>
      <x:c r="Q92" s="59"/>
      <x:c r="R92" s="59"/>
      <x:c r="S92" s="59"/>
      <x:c r="T92" s="59"/>
      <x:c r="U92" s="59"/>
      <x:c r="V92" s="59"/>
      <x:c r="W92" s="41"/>
      <x:c r="X92" s="41"/>
      <x:c r="Y92" s="63"/>
      <x:c r="Z92" s="41"/>
      <x:c r="AA92" s="41"/>
      <x:c r="AB92" s="38" t="str">
        <x:f>IF(A92="","",IF(AND(B92&lt;&gt;"",C92&lt;&gt;"",D92&lt;&gt;"",E92&lt;&gt;"",F92&gt;0,G92&gt;0,H92&gt;0,M92&lt;&gt;"",N92&lt;&gt;"",O92&lt;&gt;""),IF(AND(W92&lt;&gt;"",Y92&lt;&gt;""),"Ready for review","Needs sources/specs"),"Incomplete"))</x:f>
      </x:c>
    </x:row>
    <x:row r="93">
      <x:c r="A93" s="41"/>
      <x:c r="B93" s="41"/>
      <x:c r="C93" s="41"/>
      <x:c r="D93" s="41"/>
      <x:c r="E93" s="41"/>
      <x:c r="F93" s="55"/>
      <x:c r="G93" s="51"/>
      <x:c r="H93" s="51"/>
      <x:c r="I93" s="51"/>
      <x:c r="J93" s="51"/>
      <x:c r="K93" s="41"/>
      <x:c r="L93" s="41"/>
      <x:c r="M93" s="41"/>
      <x:c r="N93" s="41"/>
      <x:c r="O93" s="41"/>
      <x:c r="P93" s="59"/>
      <x:c r="Q93" s="59"/>
      <x:c r="R93" s="59"/>
      <x:c r="S93" s="59"/>
      <x:c r="T93" s="59"/>
      <x:c r="U93" s="59"/>
      <x:c r="V93" s="59"/>
      <x:c r="W93" s="41"/>
      <x:c r="X93" s="41"/>
      <x:c r="Y93" s="63"/>
      <x:c r="Z93" s="41"/>
      <x:c r="AA93" s="41"/>
      <x:c r="AB93" s="38" t="str">
        <x:f>IF(A93="","",IF(AND(B93&lt;&gt;"",C93&lt;&gt;"",D93&lt;&gt;"",E93&lt;&gt;"",F93&gt;0,G93&gt;0,H93&gt;0,M93&lt;&gt;"",N93&lt;&gt;"",O93&lt;&gt;""),IF(AND(W93&lt;&gt;"",Y93&lt;&gt;""),"Ready for review","Needs sources/specs"),"Incomplete"))</x:f>
      </x:c>
    </x:row>
    <x:row r="94">
      <x:c r="A94" s="41"/>
      <x:c r="B94" s="41"/>
      <x:c r="C94" s="41"/>
      <x:c r="D94" s="41"/>
      <x:c r="E94" s="41"/>
      <x:c r="F94" s="55"/>
      <x:c r="G94" s="51"/>
      <x:c r="H94" s="51"/>
      <x:c r="I94" s="51"/>
      <x:c r="J94" s="51"/>
      <x:c r="K94" s="41"/>
      <x:c r="L94" s="41"/>
      <x:c r="M94" s="41"/>
      <x:c r="N94" s="41"/>
      <x:c r="O94" s="41"/>
      <x:c r="P94" s="59"/>
      <x:c r="Q94" s="59"/>
      <x:c r="R94" s="59"/>
      <x:c r="S94" s="59"/>
      <x:c r="T94" s="59"/>
      <x:c r="U94" s="59"/>
      <x:c r="V94" s="59"/>
      <x:c r="W94" s="41"/>
      <x:c r="X94" s="41"/>
      <x:c r="Y94" s="63"/>
      <x:c r="Z94" s="41"/>
      <x:c r="AA94" s="41"/>
      <x:c r="AB94" s="38" t="str">
        <x:f>IF(A94="","",IF(AND(B94&lt;&gt;"",C94&lt;&gt;"",D94&lt;&gt;"",E94&lt;&gt;"",F94&gt;0,G94&gt;0,H94&gt;0,M94&lt;&gt;"",N94&lt;&gt;"",O94&lt;&gt;""),IF(AND(W94&lt;&gt;"",Y94&lt;&gt;""),"Ready for review","Needs sources/specs"),"Incomplete"))</x:f>
      </x:c>
    </x:row>
    <x:row r="95">
      <x:c r="A95" s="41"/>
      <x:c r="B95" s="41"/>
      <x:c r="C95" s="41"/>
      <x:c r="D95" s="41"/>
      <x:c r="E95" s="41"/>
      <x:c r="F95" s="55"/>
      <x:c r="G95" s="51"/>
      <x:c r="H95" s="51"/>
      <x:c r="I95" s="51"/>
      <x:c r="J95" s="51"/>
      <x:c r="K95" s="41"/>
      <x:c r="L95" s="41"/>
      <x:c r="M95" s="41"/>
      <x:c r="N95" s="41"/>
      <x:c r="O95" s="41"/>
      <x:c r="P95" s="59"/>
      <x:c r="Q95" s="59"/>
      <x:c r="R95" s="59"/>
      <x:c r="S95" s="59"/>
      <x:c r="T95" s="59"/>
      <x:c r="U95" s="59"/>
      <x:c r="V95" s="59"/>
      <x:c r="W95" s="41"/>
      <x:c r="X95" s="41"/>
      <x:c r="Y95" s="63"/>
      <x:c r="Z95" s="41"/>
      <x:c r="AA95" s="41"/>
      <x:c r="AB95" s="38" t="str">
        <x:f>IF(A95="","",IF(AND(B95&lt;&gt;"",C95&lt;&gt;"",D95&lt;&gt;"",E95&lt;&gt;"",F95&gt;0,G95&gt;0,H95&gt;0,M95&lt;&gt;"",N95&lt;&gt;"",O95&lt;&gt;""),IF(AND(W95&lt;&gt;"",Y95&lt;&gt;""),"Ready for review","Needs sources/specs"),"Incomplete"))</x:f>
      </x:c>
    </x:row>
    <x:row r="96">
      <x:c r="A96" s="41"/>
      <x:c r="B96" s="41"/>
      <x:c r="C96" s="41"/>
      <x:c r="D96" s="41"/>
      <x:c r="E96" s="41"/>
      <x:c r="F96" s="55"/>
      <x:c r="G96" s="51"/>
      <x:c r="H96" s="51"/>
      <x:c r="I96" s="51"/>
      <x:c r="J96" s="51"/>
      <x:c r="K96" s="41"/>
      <x:c r="L96" s="41"/>
      <x:c r="M96" s="41"/>
      <x:c r="N96" s="41"/>
      <x:c r="O96" s="41"/>
      <x:c r="P96" s="59"/>
      <x:c r="Q96" s="59"/>
      <x:c r="R96" s="59"/>
      <x:c r="S96" s="59"/>
      <x:c r="T96" s="59"/>
      <x:c r="U96" s="59"/>
      <x:c r="V96" s="59"/>
      <x:c r="W96" s="41"/>
      <x:c r="X96" s="41"/>
      <x:c r="Y96" s="63"/>
      <x:c r="Z96" s="41"/>
      <x:c r="AA96" s="41"/>
      <x:c r="AB96" s="38" t="str">
        <x:f>IF(A96="","",IF(AND(B96&lt;&gt;"",C96&lt;&gt;"",D96&lt;&gt;"",E96&lt;&gt;"",F96&gt;0,G96&gt;0,H96&gt;0,M96&lt;&gt;"",N96&lt;&gt;"",O96&lt;&gt;""),IF(AND(W96&lt;&gt;"",Y96&lt;&gt;""),"Ready for review","Needs sources/specs"),"Incomplete"))</x:f>
      </x:c>
    </x:row>
    <x:row r="97">
      <x:c r="A97" s="41"/>
      <x:c r="B97" s="41"/>
      <x:c r="C97" s="41"/>
      <x:c r="D97" s="41"/>
      <x:c r="E97" s="41"/>
      <x:c r="F97" s="55"/>
      <x:c r="G97" s="51"/>
      <x:c r="H97" s="51"/>
      <x:c r="I97" s="51"/>
      <x:c r="J97" s="51"/>
      <x:c r="K97" s="41"/>
      <x:c r="L97" s="41"/>
      <x:c r="M97" s="41"/>
      <x:c r="N97" s="41"/>
      <x:c r="O97" s="41"/>
      <x:c r="P97" s="59"/>
      <x:c r="Q97" s="59"/>
      <x:c r="R97" s="59"/>
      <x:c r="S97" s="59"/>
      <x:c r="T97" s="59"/>
      <x:c r="U97" s="59"/>
      <x:c r="V97" s="59"/>
      <x:c r="W97" s="41"/>
      <x:c r="X97" s="41"/>
      <x:c r="Y97" s="63"/>
      <x:c r="Z97" s="41"/>
      <x:c r="AA97" s="41"/>
      <x:c r="AB97" s="38" t="str">
        <x:f>IF(A97="","",IF(AND(B97&lt;&gt;"",C97&lt;&gt;"",D97&lt;&gt;"",E97&lt;&gt;"",F97&gt;0,G97&gt;0,H97&gt;0,M97&lt;&gt;"",N97&lt;&gt;"",O97&lt;&gt;""),IF(AND(W97&lt;&gt;"",Y97&lt;&gt;""),"Ready for review","Needs sources/specs"),"Incomplete"))</x:f>
      </x:c>
    </x:row>
    <x:row r="98">
      <x:c r="A98" s="41"/>
      <x:c r="B98" s="41"/>
      <x:c r="C98" s="41"/>
      <x:c r="D98" s="41"/>
      <x:c r="E98" s="41"/>
      <x:c r="F98" s="55"/>
      <x:c r="G98" s="51"/>
      <x:c r="H98" s="51"/>
      <x:c r="I98" s="51"/>
      <x:c r="J98" s="51"/>
      <x:c r="K98" s="41"/>
      <x:c r="L98" s="41"/>
      <x:c r="M98" s="41"/>
      <x:c r="N98" s="41"/>
      <x:c r="O98" s="41"/>
      <x:c r="P98" s="59"/>
      <x:c r="Q98" s="59"/>
      <x:c r="R98" s="59"/>
      <x:c r="S98" s="59"/>
      <x:c r="T98" s="59"/>
      <x:c r="U98" s="59"/>
      <x:c r="V98" s="59"/>
      <x:c r="W98" s="41"/>
      <x:c r="X98" s="41"/>
      <x:c r="Y98" s="63"/>
      <x:c r="Z98" s="41"/>
      <x:c r="AA98" s="41"/>
      <x:c r="AB98" s="38" t="str">
        <x:f>IF(A98="","",IF(AND(B98&lt;&gt;"",C98&lt;&gt;"",D98&lt;&gt;"",E98&lt;&gt;"",F98&gt;0,G98&gt;0,H98&gt;0,M98&lt;&gt;"",N98&lt;&gt;"",O98&lt;&gt;""),IF(AND(W98&lt;&gt;"",Y98&lt;&gt;""),"Ready for review","Needs sources/specs"),"Incomplete"))</x:f>
      </x:c>
    </x:row>
    <x:row r="99">
      <x:c r="A99" s="41"/>
      <x:c r="B99" s="41"/>
      <x:c r="C99" s="41"/>
      <x:c r="D99" s="41"/>
      <x:c r="E99" s="41"/>
      <x:c r="F99" s="55"/>
      <x:c r="G99" s="51"/>
      <x:c r="H99" s="51"/>
      <x:c r="I99" s="51"/>
      <x:c r="J99" s="51"/>
      <x:c r="K99" s="41"/>
      <x:c r="L99" s="41"/>
      <x:c r="M99" s="41"/>
      <x:c r="N99" s="41"/>
      <x:c r="O99" s="41"/>
      <x:c r="P99" s="59"/>
      <x:c r="Q99" s="59"/>
      <x:c r="R99" s="59"/>
      <x:c r="S99" s="59"/>
      <x:c r="T99" s="59"/>
      <x:c r="U99" s="59"/>
      <x:c r="V99" s="59"/>
      <x:c r="W99" s="41"/>
      <x:c r="X99" s="41"/>
      <x:c r="Y99" s="63"/>
      <x:c r="Z99" s="41"/>
      <x:c r="AA99" s="41"/>
      <x:c r="AB99" s="38" t="str">
        <x:f>IF(A99="","",IF(AND(B99&lt;&gt;"",C99&lt;&gt;"",D99&lt;&gt;"",E99&lt;&gt;"",F99&gt;0,G99&gt;0,H99&gt;0,M99&lt;&gt;"",N99&lt;&gt;"",O99&lt;&gt;""),IF(AND(W99&lt;&gt;"",Y99&lt;&gt;""),"Ready for review","Needs sources/specs"),"Incomplete"))</x:f>
      </x:c>
    </x:row>
    <x:row r="100">
      <x:c r="A100" s="41"/>
      <x:c r="B100" s="41"/>
      <x:c r="C100" s="41"/>
      <x:c r="D100" s="41"/>
      <x:c r="E100" s="41"/>
      <x:c r="F100" s="55"/>
      <x:c r="G100" s="51"/>
      <x:c r="H100" s="51"/>
      <x:c r="I100" s="51"/>
      <x:c r="J100" s="51"/>
      <x:c r="K100" s="41"/>
      <x:c r="L100" s="41"/>
      <x:c r="M100" s="41"/>
      <x:c r="N100" s="41"/>
      <x:c r="O100" s="41"/>
      <x:c r="P100" s="59"/>
      <x:c r="Q100" s="59"/>
      <x:c r="R100" s="59"/>
      <x:c r="S100" s="59"/>
      <x:c r="T100" s="59"/>
      <x:c r="U100" s="59"/>
      <x:c r="V100" s="59"/>
      <x:c r="W100" s="41"/>
      <x:c r="X100" s="41"/>
      <x:c r="Y100" s="63"/>
      <x:c r="Z100" s="41"/>
      <x:c r="AA100" s="41"/>
      <x:c r="AB100" s="38" t="str">
        <x:f>IF(A100="","",IF(AND(B100&lt;&gt;"",C100&lt;&gt;"",D100&lt;&gt;"",E100&lt;&gt;"",F100&gt;0,G100&gt;0,H100&gt;0,M100&lt;&gt;"",N100&lt;&gt;"",O100&lt;&gt;""),IF(AND(W100&lt;&gt;"",Y100&lt;&gt;""),"Ready for review","Needs sources/specs"),"Incomplete"))</x:f>
      </x:c>
    </x:row>
    <x:row r="101">
      <x:c r="A101" s="41"/>
      <x:c r="B101" s="41"/>
      <x:c r="C101" s="41"/>
      <x:c r="D101" s="41"/>
      <x:c r="E101" s="41"/>
      <x:c r="F101" s="55"/>
      <x:c r="G101" s="51"/>
      <x:c r="H101" s="51"/>
      <x:c r="I101" s="51"/>
      <x:c r="J101" s="51"/>
      <x:c r="K101" s="41"/>
      <x:c r="L101" s="41"/>
      <x:c r="M101" s="41"/>
      <x:c r="N101" s="41"/>
      <x:c r="O101" s="41"/>
      <x:c r="P101" s="59"/>
      <x:c r="Q101" s="59"/>
      <x:c r="R101" s="59"/>
      <x:c r="S101" s="59"/>
      <x:c r="T101" s="59"/>
      <x:c r="U101" s="59"/>
      <x:c r="V101" s="59"/>
      <x:c r="W101" s="41"/>
      <x:c r="X101" s="41"/>
      <x:c r="Y101" s="63"/>
      <x:c r="Z101" s="41"/>
      <x:c r="AA101" s="41"/>
      <x:c r="AB101" s="38" t="str">
        <x:f>IF(A101="","",IF(AND(B101&lt;&gt;"",C101&lt;&gt;"",D101&lt;&gt;"",E101&lt;&gt;"",F101&gt;0,G101&gt;0,H101&gt;0,M101&lt;&gt;"",N101&lt;&gt;"",O101&lt;&gt;""),IF(AND(W101&lt;&gt;"",Y101&lt;&gt;""),"Ready for review","Needs sources/specs"),"Incomplete"))</x:f>
      </x:c>
    </x:row>
    <x:row r="102">
      <x:c r="A102" s="41"/>
      <x:c r="B102" s="41"/>
      <x:c r="C102" s="41"/>
      <x:c r="D102" s="41"/>
      <x:c r="E102" s="41"/>
      <x:c r="F102" s="55"/>
      <x:c r="G102" s="51"/>
      <x:c r="H102" s="51"/>
      <x:c r="I102" s="51"/>
      <x:c r="J102" s="51"/>
      <x:c r="K102" s="41"/>
      <x:c r="L102" s="41"/>
      <x:c r="M102" s="41"/>
      <x:c r="N102" s="41"/>
      <x:c r="O102" s="41"/>
      <x:c r="P102" s="59"/>
      <x:c r="Q102" s="59"/>
      <x:c r="R102" s="59"/>
      <x:c r="S102" s="59"/>
      <x:c r="T102" s="59"/>
      <x:c r="U102" s="59"/>
      <x:c r="V102" s="59"/>
      <x:c r="W102" s="41"/>
      <x:c r="X102" s="41"/>
      <x:c r="Y102" s="63"/>
      <x:c r="Z102" s="41"/>
      <x:c r="AA102" s="41"/>
      <x:c r="AB102" s="38" t="str">
        <x:f>IF(A102="","",IF(AND(B102&lt;&gt;"",C102&lt;&gt;"",D102&lt;&gt;"",E102&lt;&gt;"",F102&gt;0,G102&gt;0,H102&gt;0,M102&lt;&gt;"",N102&lt;&gt;"",O102&lt;&gt;""),IF(AND(W102&lt;&gt;"",Y102&lt;&gt;""),"Ready for review","Needs sources/specs"),"Incomplete"))</x:f>
      </x:c>
    </x:row>
    <x:row r="103">
      <x:c r="A103" s="41"/>
      <x:c r="B103" s="41"/>
      <x:c r="C103" s="41"/>
      <x:c r="D103" s="41"/>
      <x:c r="E103" s="41"/>
      <x:c r="F103" s="55"/>
      <x:c r="G103" s="51"/>
      <x:c r="H103" s="51"/>
      <x:c r="I103" s="51"/>
      <x:c r="J103" s="51"/>
      <x:c r="K103" s="41"/>
      <x:c r="L103" s="41"/>
      <x:c r="M103" s="41"/>
      <x:c r="N103" s="41"/>
      <x:c r="O103" s="41"/>
      <x:c r="P103" s="59"/>
      <x:c r="Q103" s="59"/>
      <x:c r="R103" s="59"/>
      <x:c r="S103" s="59"/>
      <x:c r="T103" s="59"/>
      <x:c r="U103" s="59"/>
      <x:c r="V103" s="59"/>
      <x:c r="W103" s="41"/>
      <x:c r="X103" s="41"/>
      <x:c r="Y103" s="63"/>
      <x:c r="Z103" s="41"/>
      <x:c r="AA103" s="41"/>
      <x:c r="AB103" s="38" t="str">
        <x:f>IF(A103="","",IF(AND(B103&lt;&gt;"",C103&lt;&gt;"",D103&lt;&gt;"",E103&lt;&gt;"",F103&gt;0,G103&gt;0,H103&gt;0,M103&lt;&gt;"",N103&lt;&gt;"",O103&lt;&gt;""),IF(AND(W103&lt;&gt;"",Y103&lt;&gt;""),"Ready for review","Needs sources/specs"),"Incomplete"))</x:f>
      </x:c>
    </x:row>
    <x:row r="104">
      <x:c r="A104" s="41"/>
      <x:c r="B104" s="41"/>
      <x:c r="C104" s="41"/>
      <x:c r="D104" s="41"/>
      <x:c r="E104" s="41"/>
      <x:c r="F104" s="55"/>
      <x:c r="G104" s="51"/>
      <x:c r="H104" s="51"/>
      <x:c r="I104" s="51"/>
      <x:c r="J104" s="51"/>
      <x:c r="K104" s="41"/>
      <x:c r="L104" s="41"/>
      <x:c r="M104" s="41"/>
      <x:c r="N104" s="41"/>
      <x:c r="O104" s="41"/>
      <x:c r="P104" s="59"/>
      <x:c r="Q104" s="59"/>
      <x:c r="R104" s="59"/>
      <x:c r="S104" s="59"/>
      <x:c r="T104" s="59"/>
      <x:c r="U104" s="59"/>
      <x:c r="V104" s="59"/>
      <x:c r="W104" s="41"/>
      <x:c r="X104" s="41"/>
      <x:c r="Y104" s="63"/>
      <x:c r="Z104" s="41"/>
      <x:c r="AA104" s="41"/>
      <x:c r="AB104" s="38" t="str">
        <x:f>IF(A104="","",IF(AND(B104&lt;&gt;"",C104&lt;&gt;"",D104&lt;&gt;"",E104&lt;&gt;"",F104&gt;0,G104&gt;0,H104&gt;0,M104&lt;&gt;"",N104&lt;&gt;"",O104&lt;&gt;""),IF(AND(W104&lt;&gt;"",Y104&lt;&gt;""),"Ready for review","Needs sources/specs"),"Incomplete"))</x:f>
      </x:c>
    </x:row>
    <x:row r="105">
      <x:c r="A105" s="48"/>
      <x:c r="B105" s="48"/>
      <x:c r="C105" s="48"/>
      <x:c r="D105" s="48"/>
      <x:c r="E105" s="48"/>
      <x:c r="F105" s="56"/>
      <x:c r="G105" s="52"/>
      <x:c r="H105" s="52"/>
      <x:c r="I105" s="52"/>
      <x:c r="J105" s="52"/>
      <x:c r="K105" s="48"/>
      <x:c r="L105" s="48"/>
      <x:c r="M105" s="48"/>
      <x:c r="N105" s="48"/>
      <x:c r="O105" s="48"/>
      <x:c r="P105" s="60"/>
      <x:c r="Q105" s="60"/>
      <x:c r="R105" s="60"/>
      <x:c r="S105" s="60"/>
      <x:c r="T105" s="60"/>
      <x:c r="U105" s="60"/>
      <x:c r="V105" s="60"/>
      <x:c r="W105" s="48"/>
      <x:c r="X105" s="48"/>
      <x:c r="Y105" s="64"/>
      <x:c r="Z105" s="48"/>
      <x:c r="AA105" s="48"/>
      <x:c r="AB105" s="39" t="str">
        <x:f>IF(A105="","",IF(AND(B105&lt;&gt;"",C105&lt;&gt;"",D105&lt;&gt;"",E105&lt;&gt;"",F105&gt;0,G105&gt;0,H105&gt;0,M105&lt;&gt;"",N105&lt;&gt;"",O105&lt;&gt;""),IF(AND(W105&lt;&gt;"",Y105&lt;&gt;""),"Ready for review","Needs sources/specs"),"Incomplete"))</x:f>
      </x:c>
    </x:row>
  </x:sheetData>
  <x:mergeCells>
    <x:mergeCell ref="A1:AB1"/>
    <x:mergeCell ref="A2:AB2"/>
  </x:mergeCells>
  <x:conditionalFormatting sqref="AB6:AB105">
    <x:cfRule type="containsText" dxfId="0" priority="1" operator="containsText" text="Ready for review"/>
    <x:cfRule type="containsText" dxfId="1" priority="2" operator="containsText" text="Needs sources/specs"/>
    <x:cfRule type="containsText" dxfId="2" priority="3" operator="containsText" text="Incomplete"/>
  </x:conditionalFormatting>
  <x:dataValidations count="6">
    <x:dataValidation type="list" sqref="D6:D105">
      <x:formula1>"men,women,unisex"</x:formula1>
    </x:dataValidation>
    <x:dataValidation type="list" sqref="E6:E105">
      <x:formula1>"road,trail,track"</x:formula1>
    </x:dataValidation>
    <x:dataValidation type="list" sqref="K6:K105">
      <x:formula1>"neutral,mild,stability"</x:formula1>
    </x:dataValidation>
    <x:dataValidation type="list" sqref="L6:L105">
      <x:formula1>"firm,balanced,soft"</x:formula1>
    </x:dataValidation>
    <x:dataValidation type="list" sqref="X6:X105">
      <x:formula1>"official brand,approved retailer"</x:formula1>
    </x:dataValidation>
    <x:dataValidation type="list" sqref="Z6:Z105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</x:cols>
  <x:sheetData>
    <x:row r="1" ht="30" customHeight="1">
      <x:c r="A1" s="65" t="str">
        <x:v>How this catalog works</x:v>
      </x:c>
      <x:c r="B1" s="65"/>
      <x:c r="C1" s="65"/>
      <x:c r="D1" s="65"/>
      <x:c r="E1" s="65"/>
      <x:c r="F1" s="65"/>
    </x:row>
    <x:row r="3" ht="24" customHeight="1">
      <x:c r="A3" s="72" t="str">
        <x:v>1. Add or update a row in Catalog Intake.</x:v>
      </x:c>
      <x:c r="B3" s="73"/>
      <x:c r="C3" s="73"/>
      <x:c r="D3" s="73"/>
      <x:c r="E3" s="73"/>
      <x:c r="F3" s="74"/>
    </x:row>
    <x:row r="4" ht="24" customHeight="1">
      <x:c r="A4" s="72" t="str">
        <x:v>2. Keep a direct official product or approved retailer URL.</x:v>
      </x:c>
      <x:c r="B4" s="73"/>
      <x:c r="C4" s="73"/>
      <x:c r="D4" s="73"/>
      <x:c r="E4" s="73"/>
      <x:c r="F4" s="74"/>
    </x:row>
    <x:row r="5" ht="24" customHeight="1">
      <x:c r="A5" s="72" t="str">
        <x:v>3. Add the date you checked the product listing.</x:v>
      </x:c>
      <x:c r="B5" s="73"/>
      <x:c r="C5" s="73"/>
      <x:c r="D5" s="73"/>
      <x:c r="E5" s="73"/>
      <x:c r="F5" s="74"/>
    </x:row>
    <x:row r="6" ht="24" customHeight="1">
      <x:c r="A6" s="72" t="str">
        <x:v>4. Resolve every non-ready status before import.</x:v>
      </x:c>
      <x:c r="B6" s="73"/>
      <x:c r="C6" s="73"/>
      <x:c r="D6" s="73"/>
      <x:c r="E6" s="73"/>
      <x:c r="F6" s="74"/>
    </x:row>
    <x:row r="7" ht="24" customHeight="1">
      <x:c r="A7" s="72" t="str">
        <x:v>5. Convert the approved rows to JSON, then run the quality check.</x:v>
      </x:c>
      <x:c r="B7" s="73"/>
      <x:c r="C7" s="73"/>
      <x:c r="D7" s="73"/>
      <x:c r="E7" s="73"/>
      <x:c r="F7" s="74"/>
    </x:row>
    <x:row r="8" ht="24" customHeight="1">
      <x:c r="A8" s="72" t="str">
        <x:v>6. Import only after the quality check reports zero errors.</x:v>
      </x:c>
      <x:c r="B8" s="73"/>
      <x:c r="C8" s="73"/>
      <x:c r="D8" s="73"/>
      <x:c r="E8" s="73"/>
      <x:c r="F8" s="74"/>
    </x:row>
    <x:row r="10">
      <x:c r="A10" s="77" t="str">
        <x:v>Allowed value</x:v>
      </x:c>
      <x:c r="B10" s="77" t="str">
        <x:v>Use in</x:v>
      </x:c>
    </x:row>
    <x:row r="11">
      <x:c r="A11" s="79" t="str">
        <x:v>men / women / unisex</x:v>
      </x:c>
      <x:c r="B11" s="78" t="str">
        <x:v>gender</x:v>
      </x:c>
    </x:row>
    <x:row r="12">
      <x:c r="A12" s="79" t="str">
        <x:v>road / trail / track</x:v>
      </x:c>
      <x:c r="B12" s="78" t="str">
        <x:v>category</x:v>
      </x:c>
    </x:row>
    <x:row r="13">
      <x:c r="A13" s="79" t="str">
        <x:v>neutral / mild / stability</x:v>
      </x:c>
      <x:c r="B13" s="78" t="str">
        <x:v>stability</x:v>
      </x:c>
    </x:row>
    <x:row r="14">
      <x:c r="A14" s="79" t="str">
        <x:v>firm / balanced / soft</x:v>
      </x:c>
      <x:c r="B14" s="78" t="str">
        <x:v>cushion</x:v>
      </x:c>
    </x:row>
    <x:row r="15">
      <x:c r="A15" s="79" t="str">
        <x:v>official brand</x:v>
      </x:c>
      <x:c r="B15" s="78" t="str">
        <x:v>source type</x:v>
      </x:c>
    </x:row>
    <x:row r="16">
      <x:c r="A16" s="79" t="str">
        <x:v>approved retailer</x:v>
      </x:c>
      <x:c r="B16" s="78" t="str">
        <x:v>source type</x:v>
      </x:c>
    </x:row>
    <x:row r="17">
      <x:c r="A17" s="79" t="str">
        <x:v>yes / no</x:v>
      </x:c>
      <x:c r="B17" s="78" t="str">
        <x:v>available</x:v>
      </x:c>
    </x:row>
    <x:row r="18">
      <x:c r="A18" s="79" t="str">
        <x:v>0–10</x:v>
      </x:c>
      <x:c r="B18" s="78" t="str">
        <x:v>each score</x:v>
      </x:c>
    </x:row>
    <x:row r="19">
      <x:c r="A19" s="79" t="str">
        <x:v>HTTPS URL</x:v>
      </x:c>
      <x:c r="B19" s="78" t="str">
        <x:v>official source URL</x:v>
      </x:c>
    </x:row>
    <x:row r="20">
      <x:c r="A20" s="79" t="str">
        <x:v>yyyy-mm-dd</x:v>
      </x:c>
      <x:c r="B20" s="78" t="str">
        <x:v>last verified</x:v>
      </x:c>
    </x:row>
    <x:row r="21">
      <x:c r="A21" s="79" t="str">
        <x:v>comma-separated values</x:v>
      </x:c>
      <x:c r="B21" s="78" t="str">
        <x:v>width, use, distance</x:v>
      </x:c>
    </x:row>
    <x:row r="22">
      <x:c r="A22" s="79" t="str">
        <x:v>one row per gendered variant</x:v>
      </x:c>
      <x:c r="B22" s="78" t="str">
        <x:v>catalog convention</x:v>
      </x:c>
    </x:row>
  </x:sheetData>
  <x:mergeCells>
    <x:mergeCell ref="A1:F1"/>
    <x:mergeCell ref="A3:F3"/>
    <x:mergeCell ref="A4:F4"/>
    <x:mergeCell ref="A5:F5"/>
    <x:mergeCell ref="A6:F6"/>
    <x:mergeCell ref="A7:F7"/>
    <x:mergeCell ref="A8:F8"/>
  </x:mergeCells>
  <x:pageMargins left="0.7" right="0.7" top="0.75" bottom="0.75" header="0.3" footer="0.3"/>
</x:worksheet>
</file>